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ELCOT\Documents\Algorithm Practice\"/>
    </mc:Choice>
  </mc:AlternateContent>
  <xr:revisionPtr revIDLastSave="0" documentId="13_ncr:1_{2556E76D-4B2C-4429-AB7B-D3C493C93BF8}" xr6:coauthVersionLast="47" xr6:coauthVersionMax="47" xr10:uidLastSave="{00000000-0000-0000-0000-000000000000}"/>
  <bookViews>
    <workbookView xWindow="-120" yWindow="-120" windowWidth="20730" windowHeight="11160" firstSheet="1" activeTab="4" xr2:uid="{26D4546B-D2A1-4444-8EAF-A6228F96F0C1}"/>
  </bookViews>
  <sheets>
    <sheet name="Sheet3" sheetId="7" r:id="rId1"/>
    <sheet name="Project_excel" sheetId="5" r:id="rId2"/>
    <sheet name="Data" sheetId="2" r:id="rId3"/>
    <sheet name="Assets" sheetId="4" r:id="rId4"/>
    <sheet name="Customer Center Report" sheetId="6" r:id="rId5"/>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Sheet3!$A$3:$M$221</definedName>
    <definedName name="Slicer_Representative">#N/A</definedName>
  </definedNames>
  <calcPr calcId="191029"/>
  <pivotCaches>
    <pivotCache cacheId="0" r:id="rId6"/>
    <pivotCache cacheId="1" r:id="rId7"/>
    <pivotCache cacheId="218" r:id="rId8"/>
    <pivotCache cacheId="400" r:id="rId9"/>
    <pivotCache cacheId="817" r:id="rId10"/>
    <pivotCache cacheId="820" r:id="rId11"/>
    <pivotCache cacheId="823" r:id="rId12"/>
    <pivotCache cacheId="826" r:id="rId13"/>
    <pivotCache cacheId="829" r:id="rId14"/>
  </pivotCaches>
  <extLst>
    <ext xmlns:x14="http://schemas.microsoft.com/office/spreadsheetml/2009/9/main" uri="{876F7934-8845-4945-9796-88D515C7AA90}">
      <x14:pivotCaches>
        <pivotCache cacheId="5"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6" i="5" l="1"/>
  <c r="M27" i="6" s="1"/>
  <c r="C54" i="5"/>
  <c r="C58" i="5" s="1"/>
  <c r="C64" i="5" s="1"/>
  <c r="M34" i="6" s="1"/>
  <c r="C53" i="5"/>
  <c r="C57" i="5" s="1"/>
  <c r="C63" i="5" s="1"/>
  <c r="M33" i="6" s="1"/>
  <c r="C56" i="5"/>
  <c r="C62" i="5" s="1"/>
  <c r="M32" i="6" s="1"/>
  <c r="Q19" i="6" a="1"/>
  <c r="Q19" i="6"/>
  <c r="P21" i="5"/>
  <c r="M24" i="5" a="1"/>
  <c r="M24" i="5"/>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Q25" i="5" l="1"/>
  <c r="Q26" i="5"/>
  <c r="Q27" i="5"/>
  <c r="Q28" i="5"/>
  <c r="Q24" i="5"/>
  <c r="P25" i="5"/>
  <c r="P26" i="5"/>
  <c r="P27" i="5"/>
  <c r="P28" i="5"/>
  <c r="P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5226A8-72CD-4226-818C-180291511F82}" keepAlive="1" name="ModelConnection_ExternalData_1" description="Data Model" type="5" refreshedVersion="8" minRefreshableVersion="5" saveData="1">
    <dbPr connection="Data Model Connection" command="DRILLTHROUGH MAXROWS 1000 SELECT FROM [Model] WHERE ([calls].[Representative].&amp;[R02],[Measures].[Avg_rating])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577FBD62-FC84-4737-AEBA-4AF919F346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039152-44A1-44E5-A668-FDEA1E8C9D5F}"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4" xr16:uid="{1287B6E2-BA58-4541-BD3F-6BB09B75E2C6}"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<sst xmlns="http://schemas.openxmlformats.org/spreadsheetml/2006/main" count="4510" uniqueCount="1108">
  <si>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</si>
  <si>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</si>
  <si>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</si>
  <si>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</si>
  <si>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</si>
  <si>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</si>
  <si>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</si>
  <si>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</si>
  <si>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</si>
  <si>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</si>
  <si>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</si>
  <si>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</si>
  <si>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</si>
  <si>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</si>
  <si>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</si>
  <si>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</si>
  <si>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</si>
  <si>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</si>
  <si>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</si>
  <si>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</si>
  <si>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</si>
  <si>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</si>
  <si>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</si>
  <si>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</si>
  <si>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</si>
  <si>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</si>
  <si>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</si>
  <si>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</si>
  <si>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</si>
  <si>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</si>
  <si>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</si>
  <si>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</si>
  <si>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</si>
  <si>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</si>
  <si>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</si>
  <si>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</si>
  <si>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</si>
  <si>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</si>
  <si>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</si>
  <si>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</si>
  <si>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</si>
  <si>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</si>
  <si>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</si>
  <si>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</si>
  <si>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</si>
  <si>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</si>
  <si>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</si>
  <si>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</si>
  <si>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</si>
  <si>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</si>
  <si>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</si>
  <si>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</si>
  <si>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</si>
  <si>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</si>
  <si>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</si>
  <si>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</si>
  <si>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</si>
  <si>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</si>
  <si>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</si>
  <si>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</si>
  <si>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</si>
  <si>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</si>
  <si>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</si>
  <si>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</si>
  <si>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</si>
  <si>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</si>
  <si>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</si>
  <si>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</si>
  <si>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</si>
  <si>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</si>
  <si>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</si>
  <si>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</si>
  <si>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</si>
  <si>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</si>
  <si>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</si>
  <si>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</si>
  <si>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</si>
  <si>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</si>
  <si>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</si>
  <si>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</si>
  <si>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</si>
  <si>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</si>
  <si>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</si>
  <si>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</si>
  <si>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</si>
  <si>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</si>
  <si>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</si>
  <si>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</si>
  <si>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</si>
  <si>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</si>
  <si>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</si>
  <si>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</si>
  <si>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</si>
  <si>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</si>
  <si>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</si>
  <si>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</si>
  <si>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</si>
  <si>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</si>
  <si>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</si>
  <si>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</si>
  <si>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</si>
  <si>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</si>
  <si>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</si>
  <si>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</si>
  <si>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</si>
  <si>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</si>
  <si>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</si>
  <si>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</si>
  <si>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</si>
  <si>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</si>
  <si>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</si>
  <si>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</si>
  <si>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</si>
  <si>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</si>
  <si>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</si>
  <si>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</si>
  <si>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</si>
  <si>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</si>
  <si>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</si>
  <si>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</si>
  <si>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</si>
  <si>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</si>
  <si>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</si>
  <si>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</si>
  <si>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</si>
  <si>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</si>
  <si>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</si>
  <si>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</si>
  <si>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</si>
  <si>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</si>
  <si>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</si>
  <si>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</si>
  <si>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</si>
  <si>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</si>
  <si>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</si>
  <si>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</si>
  <si>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</si>
  <si>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</si>
  <si>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</si>
  <si>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</si>
  <si>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</si>
  <si>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</si>
  <si>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</si>
  <si>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</si>
  <si>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</si>
  <si>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</si>
  <si>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</si>
  <si>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</si>
  <si>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</si>
  <si>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</si>
  <si>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</si>
  <si>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</si>
  <si>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</si>
  <si>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</si>
  <si>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</si>
  <si>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</si>
  <si>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</si>
  <si>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</si>
  <si>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</si>
  <si>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</si>
  <si>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</si>
  <si>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</si>
  <si>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</si>
  <si>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</si>
  <si>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</si>
  <si>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</si>
  <si>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</si>
  <si>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</si>
  <si>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</si>
  <si>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</si>
  <si>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</si>
  <si>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</si>
  <si>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</si>
  <si>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</si>
  <si>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</si>
  <si>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</si>
  <si>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</si>
  <si>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</si>
  <si>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</si>
  <si>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</si>
  <si>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</si>
  <si>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</si>
  <si>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</si>
  <si>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</si>
  <si>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</si>
  <si>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</si>
  <si>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</si>
  <si>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</si>
  <si>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</si>
  <si>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</si>
  <si>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</si>
  <si>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</si>
  <si>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</si>
  <si>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</si>
  <si>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</si>
  <si>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</si>
  <si>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</si>
  <si>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</si>
  <si>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</si>
  <si>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</si>
  <si>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</si>
  <si>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</si>
  <si>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</si>
  <si>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</si>
  <si>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</si>
  <si>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</si>
  <si>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</si>
  <si>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</si>
  <si>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</si>
  <si>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</si>
  <si>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</si>
  <si>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</si>
  <si>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</si>
  <si>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</si>
  <si>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</si>
  <si>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</si>
  <si>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</si>
  <si>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</si>
  <si>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</si>
  <si>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</si>
  <si>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</si>
  <si>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</si>
  <si>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</si>
  <si>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</si>
  <si>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</si>
  <si>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</si>
  <si>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</si>
  <si>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</si>
  <si>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</si>
  <si>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</si>
  <si>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</si>
  <si>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</si>
  <si>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</si>
  <si>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</si>
  <si>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</si>
  <si>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</si>
  <si>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</si>
  <si>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</si>
  <si>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</si>
  <si>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</si>
  <si>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</si>
  <si>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</si>
  <si>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</si>
  <si>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</si>
  <si>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</si>
  <si>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</si>
  <si>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</si>
  <si>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</si>
  <si>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</si>
  <si>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</si>
  <si>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</si>
  <si>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</si>
  <si>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</si>
  <si>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</si>
  <si>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</si>
  <si>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</si>
  <si>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</si>
  <si>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</si>
  <si>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</si>
  <si>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</si>
  <si>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</si>
  <si>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</si>
  <si>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</si>
  <si>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</si>
  <si>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</si>
  <si>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</si>
  <si>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</si>
  <si>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</si>
  <si>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</si>
  <si>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</si>
  <si>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</si>
  <si>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</si>
  <si>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</si>
  <si>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</si>
  <si>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</si>
  <si>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</si>
  <si>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</si>
  <si>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</si>
  <si>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</si>
  <si>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</si>
  <si>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</si>
  <si>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</si>
  <si>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</si>
  <si>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</si>
  <si>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</si>
  <si>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</si>
  <si>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</si>
  <si>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</si>
  <si>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</si>
  <si>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</si>
  <si>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</si>
  <si>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</si>
  <si>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</si>
  <si>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</si>
  <si>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</si>
  <si>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</si>
  <si>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</si>
  <si>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</si>
  <si>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</si>
  <si>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</si>
  <si>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</si>
  <si>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</si>
  <si>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</si>
  <si>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</si>
  <si>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</si>
  <si>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</si>
  <si>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</si>
  <si>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</si>
  <si>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</si>
  <si>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</si>
  <si>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</si>
  <si>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</si>
  <si>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</si>
  <si>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</si>
  <si>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</si>
  <si>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</si>
  <si>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</si>
  <si>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</si>
  <si>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</si>
  <si>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</si>
  <si>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</si>
  <si>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</si>
  <si>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</si>
  <si>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</si>
  <si>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</si>
  <si>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</si>
  <si>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</si>
  <si>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</si>
  <si>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</si>
  <si>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</si>
  <si>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</si>
  <si>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</si>
  <si>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</si>
  <si>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</si>
  <si>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</si>
  <si>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</si>
  <si>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</si>
  <si>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</si>
  <si>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</si>
  <si>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</si>
  <si>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</si>
  <si>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</si>
  <si>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</si>
  <si>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</si>
  <si>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</si>
  <si>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</si>
  <si>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</si>
  <si>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</si>
  <si>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</si>
  <si>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</si>
  <si>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</si>
  <si>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</si>
  <si>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</si>
  <si>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</si>
  <si>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</si>
  <si>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</si>
  <si>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</si>
  <si>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</si>
  <si>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</si>
  <si>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</si>
  <si>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</si>
  <si>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</si>
  <si>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</si>
  <si>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</si>
  <si>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</si>
  <si>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</si>
  <si>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</si>
  <si>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</si>
  <si>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</si>
  <si>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</si>
  <si>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</si>
  <si>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</si>
  <si>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</si>
  <si>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</si>
  <si>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</si>
  <si>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</si>
  <si>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</si>
  <si>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</si>
  <si>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</si>
  <si>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</si>
  <si>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</si>
  <si>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</si>
  <si>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</si>
  <si>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</si>
  <si>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</si>
  <si>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</si>
  <si>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</si>
  <si>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</si>
  <si>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</si>
  <si>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</si>
  <si>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</si>
  <si>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</si>
  <si>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</si>
  <si>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</si>
  <si>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</si>
  <si>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</si>
  <si>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</si>
  <si>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</si>
  <si>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</si>
  <si>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</si>
  <si>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</si>
  <si>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</si>
  <si>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</si>
  <si>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</si>
  <si>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</si>
  <si>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</si>
  <si>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</si>
  <si>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</si>
  <si>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</si>
  <si>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</si>
  <si>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</si>
  <si>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</si>
  <si>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</si>
  <si>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</si>
  <si>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</si>
  <si>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</si>
  <si>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</si>
  <si>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</si>
  <si>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</si>
  <si>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</si>
  <si>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</si>
  <si>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</si>
  <si>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</si>
  <si>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</si>
  <si>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</si>
  <si>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</si>
  <si>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</si>
  <si>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</si>
  <si>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</si>
  <si>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</si>
  <si>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</si>
  <si>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</si>
  <si>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</si>
  <si>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</si>
  <si>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</si>
  <si>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</si>
  <si>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</si>
  <si>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</si>
  <si>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</si>
  <si>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</si>
  <si>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</si>
  <si>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</si>
  <si>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</si>
  <si>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</si>
  <si>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</si>
  <si>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</si>
  <si>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</si>
  <si>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</si>
  <si>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</si>
  <si>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</si>
  <si>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</si>
  <si>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</si>
  <si>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</si>
  <si>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</si>
  <si>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</si>
  <si>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</si>
  <si>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</si>
  <si>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</si>
  <si>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</si>
  <si>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</si>
  <si>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</si>
  <si>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</si>
  <si>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</si>
  <si>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</si>
  <si>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</si>
  <si>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</si>
  <si>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</si>
  <si>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</si>
  <si>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</si>
  <si>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</si>
  <si>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</si>
  <si>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</si>
  <si>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</si>
  <si>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</si>
  <si>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</si>
  <si>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</si>
  <si>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</si>
  <si>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</si>
  <si>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</si>
  <si>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</si>
  <si>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</si>
  <si>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</si>
  <si>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</si>
  <si>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</si>
  <si>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</si>
  <si>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</si>
  <si>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</si>
  <si>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</si>
  <si>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</si>
  <si>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</si>
  <si>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</si>
  <si>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</si>
  <si>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</si>
  <si>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</si>
  <si>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</si>
  <si>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</si>
  <si>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</si>
  <si>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</si>
  <si>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</si>
  <si>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</si>
  <si>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</si>
  <si>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</si>
  <si>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</si>
  <si>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</si>
  <si>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</si>
  <si>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</si>
  <si>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</si>
  <si>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</si>
  <si>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</si>
  <si>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</si>
  <si>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</si>
  <si>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</si>
  <si>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</si>
  <si>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</si>
  <si>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</si>
  <si>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</si>
  <si>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</si>
  <si>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</si>
  <si>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</si>
  <si>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</si>
  <si>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</si>
  <si>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</si>
  <si>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</si>
  <si>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</si>
  <si>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</si>
  <si>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</si>
  <si>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</si>
  <si>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</si>
  <si>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</si>
  <si>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</si>
  <si>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</si>
  <si>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</si>
  <si>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</si>
  <si>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</si>
  <si>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</si>
  <si>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</si>
  <si>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</si>
  <si>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</si>
  <si>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</si>
  <si>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</si>
  <si>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</si>
  <si>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</si>
  <si>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</si>
  <si>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</si>
  <si>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</si>
  <si>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</si>
  <si>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</si>
  <si>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</si>
  <si>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</si>
  <si>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</si>
  <si>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</si>
  <si>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</si>
  <si>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</si>
  <si>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</si>
  <si>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</si>
  <si>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</si>
  <si>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</si>
  <si>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</si>
  <si>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</si>
  <si>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</si>
  <si>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</si>
  <si>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</si>
  <si>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</si>
  <si>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</si>
  <si>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</si>
  <si>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</si>
  <si>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</si>
  <si>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</si>
  <si>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</si>
  <si>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</si>
  <si>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</si>
  <si>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</si>
  <si>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</si>
  <si>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</si>
  <si>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</si>
  <si>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</si>
  <si>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</si>
  <si>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</si>
  <si>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</si>
  <si>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</si>
  <si>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</si>
  <si>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</si>
  <si>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</si>
  <si>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</si>
  <si>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</si>
  <si>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</si>
  <si>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</si>
  <si>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</si>
  <si>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</si>
  <si>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</si>
  <si>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</si>
  <si>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</si>
  <si>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</si>
  <si>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</si>
  <si>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</si>
  <si>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</si>
  <si>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</si>
  <si>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</si>
  <si>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</si>
  <si>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</si>
  <si>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</si>
  <si>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</si>
  <si>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</si>
  <si>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</si>
  <si>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</si>
  <si>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</si>
  <si>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</si>
  <si>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</si>
  <si>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</si>
  <si>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</si>
  <si>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</si>
  <si>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</si>
  <si>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</si>
  <si>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</si>
  <si>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</si>
  <si>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</si>
  <si>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</si>
  <si>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</si>
  <si>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</si>
  <si>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</si>
  <si>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</si>
  <si>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</si>
  <si>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</si>
  <si>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</si>
  <si>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</si>
  <si>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</si>
  <si>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</si>
  <si>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</si>
  <si>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</si>
  <si>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</si>
  <si>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</si>
  <si>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</si>
  <si>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</si>
  <si>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</si>
  <si>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</si>
  <si>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</si>
  <si>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</si>
  <si>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</si>
  <si>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</si>
  <si>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</si>
  <si>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</si>
  <si>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</si>
  <si>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</si>
  <si>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</si>
  <si>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</si>
  <si>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</si>
  <si>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</si>
  <si>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</si>
  <si>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</si>
  <si>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</si>
  <si>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</si>
  <si>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</si>
  <si>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</si>
  <si>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</si>
  <si>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</si>
  <si>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</si>
  <si>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</si>
  <si>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</si>
  <si>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</si>
  <si>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</si>
  <si>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</si>
  <si>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</si>
  <si>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</si>
  <si>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</si>
  <si>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</si>
  <si>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</si>
  <si>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</si>
  <si>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</si>
  <si>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</si>
  <si>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</si>
  <si>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</si>
  <si>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</si>
  <si>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</si>
  <si>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</si>
  <si>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</si>
  <si>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</si>
  <si>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</si>
  <si>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</si>
  <si>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</si>
  <si>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</si>
  <si>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</si>
  <si>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</si>
  <si>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</si>
  <si>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</si>
  <si>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</si>
  <si>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</si>
  <si>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</si>
  <si>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</si>
  <si>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</si>
  <si>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</si>
  <si>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</si>
  <si>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</si>
  <si>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</si>
  <si>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</si>
  <si>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</si>
  <si>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</si>
  <si>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</si>
  <si>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</si>
  <si>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</si>
  <si>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</si>
  <si>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</si>
  <si>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</si>
  <si>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</si>
  <si>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</si>
  <si>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</si>
  <si>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</si>
  <si>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</si>
  <si>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</si>
  <si>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</si>
  <si>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</si>
  <si>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</si>
  <si>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</si>
  <si>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</si>
  <si>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</si>
  <si>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</si>
  <si>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</si>
  <si>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</si>
  <si>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</si>
  <si>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</si>
  <si>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</si>
  <si>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</si>
  <si>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</si>
  <si>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</si>
  <si>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</si>
  <si>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</si>
  <si>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</si>
  <si>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</si>
  <si>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</si>
  <si>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</si>
  <si>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</si>
  <si>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</si>
  <si>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</si>
  <si>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</si>
  <si>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</si>
  <si>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</si>
  <si>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</si>
  <si>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</si>
  <si>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</si>
  <si>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</si>
  <si>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</si>
  <si>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</si>
  <si>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</si>
  <si>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</si>
  <si>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</si>
  <si>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</si>
  <si>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</si>
  <si>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</si>
  <si>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</si>
  <si>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</si>
  <si>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</si>
  <si>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</si>
  <si>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</si>
  <si>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</si>
  <si>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</si>
  <si>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</si>
  <si>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</si>
  <si>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</si>
  <si>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</si>
  <si>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</si>
  <si>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</si>
  <si>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</si>
  <si>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</si>
  <si>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</si>
  <si>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</si>
  <si>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</si>
  <si>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</si>
  <si>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</si>
  <si>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</si>
  <si>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</si>
  <si>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</si>
  <si>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</si>
  <si>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</si>
  <si>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</si>
  <si>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</si>
  <si>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</si>
  <si>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</si>
  <si>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</si>
  <si>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</si>
  <si>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</si>
  <si>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</si>
  <si>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</si>
  <si>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</si>
  <si>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</si>
  <si>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</si>
  <si>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</si>
  <si>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</si>
  <si>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</si>
  <si>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</si>
  <si>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</si>
  <si>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</si>
  <si>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</si>
  <si>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</si>
  <si>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</si>
  <si>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</si>
  <si>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</si>
  <si>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</si>
  <si>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</si>
  <si>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</si>
  <si>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</si>
  <si>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</si>
  <si>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</si>
  <si>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</si>
  <si>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</si>
  <si>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</si>
  <si>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</si>
  <si>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</si>
  <si>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</si>
  <si>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</si>
  <si>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</si>
  <si>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</si>
  <si>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</si>
  <si>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</si>
  <si>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</si>
  <si>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</si>
  <si>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</si>
  <si>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</si>
  <si>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</si>
  <si>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</si>
  <si>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</si>
  <si>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</si>
  <si>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</si>
  <si>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</si>
  <si>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</si>
  <si>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</si>
  <si>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</si>
  <si>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</si>
  <si>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</si>
  <si>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</si>
  <si>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</si>
  <si>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</si>
  <si>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</si>
  <si>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</si>
  <si>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</si>
  <si>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</si>
  <si>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</si>
  <si>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</si>
  <si>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</si>
  <si>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</si>
  <si>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</si>
  <si>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</si>
  <si>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</si>
  <si>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</si>
  <si>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</si>
  <si>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</si>
  <si>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</si>
  <si>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</si>
  <si>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</si>
  <si>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</si>
  <si>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</si>
  <si>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</si>
  <si>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</si>
  <si>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</si>
  <si>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</si>
  <si>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</si>
  <si>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</si>
  <si>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</si>
  <si>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</si>
  <si>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</si>
  <si>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</si>
  <si>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</si>
  <si>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</si>
  <si>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</si>
  <si>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</si>
  <si>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</si>
  <si>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</si>
  <si>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</si>
  <si>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</si>
  <si>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</si>
  <si>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</si>
  <si>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</si>
  <si>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</si>
  <si>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</si>
  <si>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</si>
  <si>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</si>
  <si>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</si>
  <si>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</si>
  <si>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</si>
  <si>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</si>
  <si>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</si>
  <si>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</si>
  <si>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</si>
  <si>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</si>
  <si>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</si>
  <si>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</si>
  <si>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</si>
  <si>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</si>
  <si>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</si>
  <si>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</si>
  <si>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</si>
  <si>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</si>
  <si>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</si>
  <si>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</si>
  <si>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</si>
  <si>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</si>
  <si>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</si>
  <si>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</si>
  <si>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</si>
  <si>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</si>
  <si>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</si>
  <si>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</si>
  <si>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</si>
  <si>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</si>
  <si>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</si>
  <si>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</si>
  <si>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</si>
  <si>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</si>
  <si>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</si>
  <si>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</si>
  <si>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</si>
  <si>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</si>
  <si>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</si>
  <si>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</si>
  <si>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</si>
  <si>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</si>
  <si>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</si>
  <si>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</si>
  <si>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</si>
  <si>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</si>
  <si>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</si>
  <si>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</si>
  <si>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</si>
  <si>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</si>
  <si>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</si>
  <si>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</si>
  <si>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</si>
  <si>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</si>
  <si>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</si>
  <si>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</si>
  <si>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</si>
  <si>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</si>
  <si>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</si>
  <si>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</si>
  <si>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</si>
  <si>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</si>
  <si>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</si>
  <si>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</si>
  <si>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</si>
  <si>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</si>
  <si>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</si>
  <si>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</si>
  <si>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</si>
  <si>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</si>
  <si>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</si>
  <si>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</si>
  <si>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</si>
  <si>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</si>
  <si>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</si>
  <si>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</si>
  <si>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</si>
  <si>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</si>
  <si>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</si>
  <si>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</si>
  <si>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</si>
  <si>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</si>
  <si>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</si>
  <si>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</si>
  <si>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</si>
  <si>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</si>
  <si>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</si>
  <si>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</si>
  <si>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</si>
  <si>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</si>
  <si>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</si>
  <si>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</si>
  <si>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</si>
  <si>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</si>
  <si>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</si>
  <si>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</si>
  <si>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</si>
  <si>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</si>
  <si>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</si>
  <si>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</si>
  <si>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</si>
  <si>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</si>
  <si>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</si>
  <si>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</si>
  <si>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</si>
  <si>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</si>
  <si>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</si>
  <si>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</si>
  <si>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</si>
  <si>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</si>
  <si>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</si>
  <si>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</si>
  <si>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</si>
  <si>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</si>
  <si>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</si>
  <si>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</si>
  <si>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</si>
  <si>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</si>
  <si>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</si>
  <si>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</si>
  <si>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</si>
  <si>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</si>
  <si>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</si>
  <si>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</si>
  <si>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</si>
  <si>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</si>
  <si>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</si>
  <si>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</si>
  <si>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</si>
  <si>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</si>
  <si>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</si>
  <si>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</si>
  <si>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</si>
  <si>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</si>
  <si>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</si>
  <si>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</si>
  <si>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</si>
  <si>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</si>
  <si>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</si>
  <si>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</si>
  <si>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</si>
  <si>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</si>
  <si>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</si>
  <si>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</si>
  <si>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</si>
  <si>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</si>
  <si>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</si>
  <si>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</si>
  <si>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</si>
  <si>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</si>
  <si>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</si>
  <si>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</si>
  <si>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</si>
  <si>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</si>
  <si>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</si>
  <si>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</si>
  <si>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</si>
  <si>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</si>
  <si>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</si>
  <si>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</si>
  <si>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</si>
  <si>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</si>
  <si>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</si>
  <si>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</si>
  <si>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</si>
  <si>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</si>
  <si>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</si>
  <si>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</si>
  <si>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</si>
  <si>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</si>
  <si>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</si>
  <si>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</si>
  <si>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</si>
  <si>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Avg_rating</t>
  </si>
  <si>
    <t>5*_calls</t>
  </si>
  <si>
    <t>Row Labels</t>
  </si>
  <si>
    <t>Grand Total</t>
  </si>
  <si>
    <t>Jan</t>
  </si>
  <si>
    <t>Feb</t>
  </si>
  <si>
    <t>Mar</t>
  </si>
  <si>
    <t>Apr</t>
  </si>
  <si>
    <t>May</t>
  </si>
  <si>
    <t>Jun</t>
  </si>
  <si>
    <t>Jul</t>
  </si>
  <si>
    <t>Aug</t>
  </si>
  <si>
    <t>Sep</t>
  </si>
  <si>
    <t>Oct</t>
  </si>
  <si>
    <t>Nov</t>
  </si>
  <si>
    <t>Dec</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</si>
  <si>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</si>
  <si>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</si>
  <si>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</si>
  <si>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</si>
  <si>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</si>
  <si>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</si>
  <si>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</si>
  <si>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</si>
  <si>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</si>
  <si>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</si>
  <si>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</si>
  <si>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</si>
  <si>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</si>
  <si>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Sunday</t>
  </si>
  <si>
    <t>1 to 2 hours</t>
  </si>
  <si>
    <t>Tuesday</t>
  </si>
  <si>
    <t>30 to 60 mins</t>
  </si>
  <si>
    <t>Wednesday</t>
  </si>
  <si>
    <t>More than 2 hours</t>
  </si>
  <si>
    <t>Thursday</t>
  </si>
  <si>
    <t>Saturday</t>
  </si>
  <si>
    <t>Monday</t>
  </si>
  <si>
    <t>Friday</t>
  </si>
  <si>
    <t>10 to 30 mins</t>
  </si>
  <si>
    <t>Under 10 mins</t>
  </si>
  <si>
    <t>Data returned for Avg_rating, R02 (First 1000 rows).</t>
  </si>
  <si>
    <t>call count2</t>
  </si>
  <si>
    <t>Rep</t>
  </si>
  <si>
    <t>Amount</t>
  </si>
  <si>
    <t>Calls</t>
  </si>
  <si>
    <t>sel calls</t>
  </si>
  <si>
    <t>sel.amount</t>
  </si>
  <si>
    <t>selected rep</t>
  </si>
  <si>
    <t>Column Labels</t>
  </si>
  <si>
    <t>Total</t>
  </si>
  <si>
    <t>rep summary</t>
  </si>
  <si>
    <t>% of calls</t>
  </si>
  <si>
    <t>call rank</t>
  </si>
  <si>
    <t>calls</t>
  </si>
  <si>
    <t>Amount rank</t>
  </si>
  <si>
    <t>Labels:</t>
  </si>
  <si>
    <t>image</t>
  </si>
  <si>
    <t>CALL CENTER REPORT -2025</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</si>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</sst>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2"/>
      <color theme="1"/>
      <name val="Aptos"/>
      <family val="2"/>
      <scheme val="minor"/>
    </font>
    <font>
      <b/>
      <sz val="12"/>
      <color theme="1"/>
      <name val="Aptos"/>
      <family val="2"/>
      <scheme val="minor"/>
    </font>
    <font>
      <b/>
      <sz val="20"/>
      <color theme="1"/>
      <name val="Aptos"/>
      <family val="2"/>
      <scheme val="minor"/>
    </font>
    <font>
      <b/>
      <sz val="28"/>
      <color theme="1"/>
      <name val="Aptos"/>
      <family val="2"/>
      <scheme val="minor"/>
    </font>
    <font>
      <sz val="28"/>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rgb="FFFF0000"/>
        <bgColor indexed="64"/>
      </patternFill>
    </fill>
    <fill>
      <patternFill patternType="solid">
        <fgColor theme="0"/>
        <bgColor indexed="64"/>
      </patternFill>
    </fill>
    <fill>
      <patternFill patternType="solid">
        <fgColor theme="0"/>
        <bgColor theme="4" tint="0.79998168889431442"/>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499984740745262"/>
      </left>
      <right/>
      <top style="thin">
        <color theme="0" tint="-0.499984740745262"/>
      </top>
      <bottom/>
      <diagonal/>
    </border>
    <border>
      <left/>
      <right/>
      <top style="thin">
        <color theme="0" tint="-0.499984740745262"/>
      </top>
      <bottom style="thin">
        <color theme="4" tint="0.39997558519241921"/>
      </bottom>
      <diagonal/>
    </border>
    <border>
      <left/>
      <right style="thin">
        <color theme="0" tint="-0.499984740745262"/>
      </right>
      <top style="thin">
        <color theme="0" tint="-0.499984740745262"/>
      </top>
      <bottom style="thin">
        <color theme="4" tint="0.39997558519241921"/>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1">
    <xf numFmtId="0" fontId="0" fillId="0" borderId="0"/>
  </cellStyleXfs>
  <cellXfs count="5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14" fontId="0" fillId="0" borderId="0" xfId="0" applyNumberFormat="1"/>
    <xf numFmtId="167" fontId="0" fillId="0" borderId="0" xfId="0" applyNumberFormat="1"/>
    <xf numFmtId="0" fontId="0" fillId="3" borderId="0" xfId="0" applyFill="1" applyAlignment="1">
      <alignment horizontal="left"/>
    </xf>
    <xf numFmtId="0" fontId="0" fillId="0" borderId="0" xfId="0" applyNumberFormat="1"/>
    <xf numFmtId="0" fontId="0" fillId="0" borderId="0" xfId="0" applyAlignment="1">
      <alignment horizontal="left" indent="1"/>
    </xf>
    <xf numFmtId="0" fontId="4" fillId="4" borderId="10" xfId="0" applyFont="1" applyFill="1" applyBorder="1"/>
    <xf numFmtId="0" fontId="5" fillId="5" borderId="11" xfId="0" applyFont="1" applyFill="1" applyBorder="1"/>
    <xf numFmtId="0" fontId="5" fillId="5" borderId="12" xfId="0" applyFont="1" applyFill="1" applyBorder="1"/>
    <xf numFmtId="0" fontId="4" fillId="4" borderId="13" xfId="0" applyFont="1" applyFill="1" applyBorder="1" applyAlignment="1">
      <alignment horizontal="left" indent="1"/>
    </xf>
    <xf numFmtId="0" fontId="4" fillId="4" borderId="0" xfId="0" applyFont="1" applyFill="1" applyBorder="1" applyAlignment="1">
      <alignment horizontal="left" indent="1"/>
    </xf>
    <xf numFmtId="0" fontId="4" fillId="4" borderId="14" xfId="0" applyFont="1" applyFill="1" applyBorder="1" applyAlignment="1">
      <alignment horizontal="left" indent="1"/>
    </xf>
    <xf numFmtId="168" fontId="4" fillId="4" borderId="0" xfId="0" applyNumberFormat="1" applyFont="1" applyFill="1" applyBorder="1"/>
    <xf numFmtId="168" fontId="4" fillId="4" borderId="14" xfId="0" applyNumberFormat="1" applyFont="1" applyFill="1" applyBorder="1"/>
    <xf numFmtId="0" fontId="4" fillId="4" borderId="13" xfId="0" applyFont="1" applyFill="1" applyBorder="1"/>
    <xf numFmtId="0" fontId="0" fillId="4" borderId="13" xfId="0" applyFill="1" applyBorder="1"/>
    <xf numFmtId="168" fontId="0" fillId="4" borderId="0" xfId="0" applyNumberFormat="1" applyFill="1" applyBorder="1"/>
    <xf numFmtId="168" fontId="0" fillId="4" borderId="14" xfId="0" applyNumberFormat="1" applyFill="1" applyBorder="1"/>
    <xf numFmtId="0" fontId="0" fillId="4" borderId="15" xfId="0" applyFill="1" applyBorder="1"/>
    <xf numFmtId="168" fontId="0" fillId="4" borderId="16" xfId="0" applyNumberFormat="1" applyFill="1" applyBorder="1"/>
    <xf numFmtId="168" fontId="0" fillId="4" borderId="17" xfId="0" applyNumberFormat="1" applyFill="1" applyBorder="1"/>
    <xf numFmtId="10" fontId="0" fillId="0" borderId="0" xfId="0" applyNumberFormat="1"/>
    <xf numFmtId="0" fontId="0" fillId="0" borderId="0" xfId="0" applyAlignment="1">
      <alignment horizontal="center"/>
    </xf>
    <xf numFmtId="0" fontId="0" fillId="0" borderId="14" xfId="0" applyBorder="1" applyAlignment="1">
      <alignment horizontal="center"/>
    </xf>
    <xf numFmtId="0" fontId="6" fillId="0" borderId="0" xfId="0" applyFont="1" applyAlignment="1">
      <alignment vertical="center"/>
    </xf>
    <xf numFmtId="0" fontId="0" fillId="0" borderId="0" xfId="0" applyAlignment="1"/>
    <xf numFmtId="0" fontId="7" fillId="0" borderId="0" xfId="0" applyFont="1" applyAlignment="1"/>
    <xf numFmtId="0" fontId="8" fillId="0" borderId="0" xfId="0" applyFont="1" applyAlignment="1"/>
  </cellXfs>
  <cellStyles count="1">
    <cellStyle name="Normal" xfId="0" builtinId="0"/>
  </cellStyles>
  <dxfs count="18">
    <dxf>
      <fill>
        <patternFill>
          <bgColor theme="5" tint="0.39994506668294322"/>
        </patternFill>
      </fill>
      <border>
        <left style="thin">
          <color theme="1" tint="0.24994659260841701"/>
        </left>
        <right style="thin">
          <color theme="1" tint="0.24994659260841701"/>
        </right>
        <vertical/>
        <horizontal/>
      </border>
    </dxf>
    <dxf>
      <fill>
        <patternFill patternType="solid">
          <bgColor rgb="FFFF00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[07.sample-data-excel-portfolio-project.xlsx]Project_excel!PivotTable3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Call</a:t>
            </a:r>
            <a:r>
              <a:rPr lang="en-IN" sz="2000" b="1" baseline="0">
                <a:solidFill>
                  <a:srgbClr val="FF0000"/>
                </a:solidFill>
              </a:rPr>
              <a:t> Trend</a:t>
            </a:r>
            <a:endParaRPr lang="en-IN" sz="2000" b="1">
              <a:solidFill>
                <a:srgbClr val="FF0000"/>
              </a:solidFill>
            </a:endParaRPr>
          </a:p>
        </c:rich>
      </c:tx>
      <c:layout>
        <c:manualLayout>
          <c:xMode val="edge"/>
          <c:yMode val="edge"/>
          <c:x val="1.597222222222222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00">
                  <a:alpha val="50000"/>
                </a:srgbClr>
              </a:gs>
              <a:gs pos="100000">
                <a:schemeClr val="accent2"/>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7"/>
          <c:spPr>
            <a:solidFill>
              <a:schemeClr val="bg1"/>
            </a:solidFill>
            <a:ln w="25400">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Project_excel!$C$15</c:f>
              <c:strCache>
                <c:ptCount val="1"/>
                <c:pt idx="0">
                  <c:v>call count</c:v>
                </c:pt>
              </c:strCache>
            </c:strRef>
          </c:tx>
          <c:spPr>
            <a:gradFill>
              <a:gsLst>
                <a:gs pos="0">
                  <a:srgbClr val="FF0000">
                    <a:alpha val="50000"/>
                  </a:srgbClr>
                </a:gs>
                <a:gs pos="100000">
                  <a:schemeClr val="accent2"/>
                </a:gs>
              </a:gsLst>
              <a:lin ang="5400000" scaled="1"/>
            </a:gradFill>
            <a:ln>
              <a:solidFill>
                <a:srgbClr val="FF0000"/>
              </a:solidFill>
            </a:ln>
            <a:effectLst/>
          </c:spPr>
          <c:cat>
            <c:strRef>
              <c:f>Project_excel!$A$16:$A$28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Project_excel!$C$16:$C$28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3A74-4316-9AA8-7B6495BE8D43}"/>
            </c:ext>
          </c:extLst>
        </c:ser>
        <c:dLbls>
          <c:showLegendKey val="0"/>
          <c:showVal val="0"/>
          <c:showCatName val="0"/>
          <c:showSerName val="0"/>
          <c:showPercent val="0"/>
          <c:showBubbleSize val="0"/>
        </c:dLbls>
        <c:axId val="1505385391"/>
        <c:axId val="928084383"/>
      </c:areaChart>
      <c:lineChart>
        <c:grouping val="standard"/>
        <c:varyColors val="0"/>
        <c:ser>
          <c:idx val="0"/>
          <c:order val="0"/>
          <c:tx>
            <c:strRef>
              <c:f>Project_excel!$B$15</c:f>
              <c:strCache>
                <c:ptCount val="1"/>
                <c:pt idx="0">
                  <c:v>call count2</c:v>
                </c:pt>
              </c:strCache>
            </c:strRef>
          </c:tx>
          <c:spPr>
            <a:ln w="28575" cap="rnd">
              <a:solidFill>
                <a:srgbClr val="C00000"/>
              </a:solidFill>
              <a:round/>
            </a:ln>
            <a:effectLst/>
          </c:spPr>
          <c:marker>
            <c:symbol val="circle"/>
            <c:size val="7"/>
            <c:spPr>
              <a:solidFill>
                <a:schemeClr val="bg1"/>
              </a:solidFill>
              <a:ln w="25400">
                <a:solidFill>
                  <a:srgbClr val="C00000"/>
                </a:solidFill>
              </a:ln>
              <a:effectLst/>
            </c:spPr>
          </c:marker>
          <c:cat>
            <c:strRef>
              <c:f>Project_excel!$A$16:$A$28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Project_excel!$B$16:$B$28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3A74-4316-9AA8-7B6495BE8D43}"/>
            </c:ext>
          </c:extLst>
        </c:ser>
        <c:dLbls>
          <c:showLegendKey val="0"/>
          <c:showVal val="0"/>
          <c:showCatName val="0"/>
          <c:showSerName val="0"/>
          <c:showPercent val="0"/>
          <c:showBubbleSize val="0"/>
        </c:dLbls>
        <c:marker val="1"/>
        <c:smooth val="0"/>
        <c:axId val="1505385391"/>
        <c:axId val="928084383"/>
      </c:lineChart>
      <c:catAx>
        <c:axId val="1505385391"/>
        <c:scaling>
          <c:orientation val="minMax"/>
        </c:scaling>
        <c:delete val="0"/>
        <c:axPos val="b"/>
        <c:numFmt formatCode="General" sourceLinked="1"/>
        <c:majorTickMark val="none"/>
        <c:minorTickMark val="none"/>
        <c:tickLblPos val="nextTo"/>
        <c:spPr>
          <a:noFill/>
          <a:ln w="9525" cap="flat" cmpd="sng" algn="ctr">
            <a:solidFill>
              <a:srgbClr val="C00000">
                <a:alpha val="44000"/>
              </a:srgb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084383"/>
        <c:crosses val="autoZero"/>
        <c:auto val="1"/>
        <c:lblAlgn val="ctr"/>
        <c:lblOffset val="100"/>
        <c:noMultiLvlLbl val="0"/>
      </c:catAx>
      <c:valAx>
        <c:axId val="928084383"/>
        <c:scaling>
          <c:orientation val="minMax"/>
        </c:scaling>
        <c:delete val="0"/>
        <c:axPos val="l"/>
        <c:majorGridlines>
          <c:spPr>
            <a:ln w="9525" cap="flat" cmpd="sng" algn="ctr">
              <a:gradFill>
                <a:gsLst>
                  <a:gs pos="0">
                    <a:srgbClr val="FF0000"/>
                  </a:gs>
                  <a:gs pos="100000">
                    <a:schemeClr val="accent2"/>
                  </a:gs>
                </a:gsLst>
                <a:lin ang="5400000" scaled="1"/>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85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50800" dir="5400000" sx="48000" sy="48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[07.sample-data-excel-portfolio-project.xlsx]Project_excel!PivotTable4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Project_excel!$F$15</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Project_excel!$E$16:$E$23</c:f>
              <c:strCache>
                <c:ptCount val="7"/>
                <c:pt idx="0">
                  <c:v>Monday</c:v>
                </c:pt>
                <c:pt idx="1">
                  <c:v>Tuesday</c:v>
                </c:pt>
                <c:pt idx="2">
                  <c:v>Wednesday</c:v>
                </c:pt>
                <c:pt idx="3">
                  <c:v>Thursday</c:v>
                </c:pt>
                <c:pt idx="4">
                  <c:v>Friday</c:v>
                </c:pt>
                <c:pt idx="5">
                  <c:v>Saturday</c:v>
                </c:pt>
                <c:pt idx="6">
                  <c:v>Sunday</c:v>
                </c:pt>
              </c:strCache>
            </c:strRef>
          </c:cat>
          <c:val>
            <c:numRef>
              <c:f>Project_excel!$F$16:$F$23</c:f>
              <c:numCache>
                <c:formatCode>#,##0</c:formatCode>
                <c:ptCount val="7"/>
                <c:pt idx="0">
                  <c:v>22</c:v>
                </c:pt>
                <c:pt idx="1">
                  <c:v>27</c:v>
                </c:pt>
                <c:pt idx="2">
                  <c:v>27</c:v>
                </c:pt>
                <c:pt idx="3">
                  <c:v>27</c:v>
                </c:pt>
                <c:pt idx="4">
                  <c:v>32</c:v>
                </c:pt>
                <c:pt idx="5">
                  <c:v>38</c:v>
                </c:pt>
                <c:pt idx="6">
                  <c:v>27</c:v>
                </c:pt>
              </c:numCache>
            </c:numRef>
          </c:val>
          <c:extLst>
            <c:ext xmlns:c16="http://schemas.microsoft.com/office/drawing/2014/chart" uri="{C3380CC4-5D6E-409C-BE32-E72D297353CC}">
              <c16:uniqueId val="{00000000-ED88-4116-9B65-FC7C647AC204}"/>
            </c:ext>
          </c:extLst>
        </c:ser>
        <c:dLbls>
          <c:showLegendKey val="0"/>
          <c:showVal val="0"/>
          <c:showCatName val="0"/>
          <c:showSerName val="0"/>
          <c:showPercent val="0"/>
          <c:showBubbleSize val="0"/>
        </c:dLbls>
        <c:gapWidth val="25"/>
        <c:axId val="928080063"/>
        <c:axId val="928073343"/>
      </c:barChart>
      <c:catAx>
        <c:axId val="92808006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28073343"/>
        <c:crosses val="autoZero"/>
        <c:auto val="1"/>
        <c:lblAlgn val="ctr"/>
        <c:lblOffset val="100"/>
        <c:noMultiLvlLbl val="0"/>
      </c:catAx>
      <c:valAx>
        <c:axId val="928073343"/>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92808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a:t>Calls</a:t>
            </a:r>
          </a:p>
        </c:rich>
      </c:tx>
      <c:layout>
        <c:manualLayout>
          <c:xMode val="edge"/>
          <c:yMode val="edge"/>
          <c:x val="4.8586772823431122E-2"/>
          <c:y val="0"/>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82735468958514"/>
          <c:y val="9.2866682428635577E-2"/>
          <c:w val="0.84157485330081139"/>
          <c:h val="0.8276612891780798"/>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Project_excel!$M$24:$M$28</c:f>
              <c:strCache>
                <c:ptCount val="5"/>
                <c:pt idx="0">
                  <c:v>R01</c:v>
                </c:pt>
                <c:pt idx="1">
                  <c:v>R02</c:v>
                </c:pt>
                <c:pt idx="2">
                  <c:v>R03</c:v>
                </c:pt>
                <c:pt idx="3">
                  <c:v>R04</c:v>
                </c:pt>
                <c:pt idx="4">
                  <c:v>R05</c:v>
                </c:pt>
              </c:strCache>
            </c:strRef>
          </c:cat>
          <c:val>
            <c:numRef>
              <c:f>Project_excel!$O$24:$O$28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6C0-47DD-9E70-7C55887C43A1}"/>
            </c:ext>
          </c:extLst>
        </c:ser>
        <c:ser>
          <c:idx val="1"/>
          <c:order val="1"/>
          <c:tx>
            <c:strRef>
              <c:f>Project_excel!$P$23</c:f>
              <c:strCache>
                <c:ptCount val="1"/>
                <c:pt idx="0">
                  <c:v>sel calls</c:v>
                </c:pt>
              </c:strCache>
            </c:strRef>
          </c:tx>
          <c:spPr>
            <a:gradFill>
              <a:gsLst>
                <a:gs pos="0">
                  <a:srgbClr val="FF0000"/>
                </a:gs>
                <a:gs pos="100000">
                  <a:schemeClr val="accent2">
                    <a:lumMod val="40000"/>
                    <a:lumOff val="60000"/>
                  </a:schemeClr>
                </a:gs>
              </a:gsLst>
              <a:lin ang="5400000" scaled="1"/>
            </a:gradFill>
            <a:ln>
              <a:noFill/>
            </a:ln>
            <a:effectLst/>
          </c:spPr>
          <c:invertIfNegative val="0"/>
          <c:val>
            <c:numRef>
              <c:f>Project_excel!$P$24:$P$28</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E6C0-47DD-9E70-7C55887C43A1}"/>
            </c:ext>
          </c:extLst>
        </c:ser>
        <c:dLbls>
          <c:showLegendKey val="0"/>
          <c:showVal val="0"/>
          <c:showCatName val="0"/>
          <c:showSerName val="0"/>
          <c:showPercent val="0"/>
          <c:showBubbleSize val="0"/>
        </c:dLbls>
        <c:gapWidth val="25"/>
        <c:overlap val="100"/>
        <c:axId val="928067103"/>
        <c:axId val="928081983"/>
      </c:barChart>
      <c:catAx>
        <c:axId val="92806710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28081983"/>
        <c:crosses val="autoZero"/>
        <c:auto val="1"/>
        <c:lblAlgn val="ctr"/>
        <c:lblOffset val="100"/>
        <c:noMultiLvlLbl val="0"/>
      </c:catAx>
      <c:valAx>
        <c:axId val="928081983"/>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92806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00"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244568083222224E-2"/>
          <c:y val="1.4379762352725381E-2"/>
          <c:w val="0.88973951474419843"/>
          <c:h val="0.94970396368584264"/>
        </c:manualLayout>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Project_excel!$M$24:$M$28</c:f>
              <c:strCache>
                <c:ptCount val="5"/>
                <c:pt idx="0">
                  <c:v>R01</c:v>
                </c:pt>
                <c:pt idx="1">
                  <c:v>R02</c:v>
                </c:pt>
                <c:pt idx="2">
                  <c:v>R03</c:v>
                </c:pt>
                <c:pt idx="3">
                  <c:v>R04</c:v>
                </c:pt>
                <c:pt idx="4">
                  <c:v>R05</c:v>
                </c:pt>
              </c:strCache>
            </c:strRef>
          </c:cat>
          <c:val>
            <c:numRef>
              <c:f>Project_excel!$N$24:$N$28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D0C-46BC-94C1-E7A91C894395}"/>
            </c:ext>
          </c:extLst>
        </c:ser>
        <c:ser>
          <c:idx val="1"/>
          <c:order val="1"/>
          <c:tx>
            <c:strRef>
              <c:f>Project_excel!$Q$23</c:f>
              <c:strCache>
                <c:ptCount val="1"/>
                <c:pt idx="0">
                  <c:v>sel.amount</c:v>
                </c:pt>
              </c:strCache>
            </c:strRef>
          </c:tx>
          <c:spPr>
            <a:gradFill>
              <a:gsLst>
                <a:gs pos="0">
                  <a:srgbClr val="FF0000"/>
                </a:gs>
                <a:gs pos="100000">
                  <a:schemeClr val="accent2">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Project_excel!$Q$24:$Q$28</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1D0C-46BC-94C1-E7A91C894395}"/>
            </c:ext>
          </c:extLst>
        </c:ser>
        <c:dLbls>
          <c:dLblPos val="outEnd"/>
          <c:showLegendKey val="0"/>
          <c:showVal val="1"/>
          <c:showCatName val="0"/>
          <c:showSerName val="0"/>
          <c:showPercent val="0"/>
          <c:showBubbleSize val="0"/>
        </c:dLbls>
        <c:gapWidth val="25"/>
        <c:overlap val="100"/>
        <c:axId val="928067103"/>
        <c:axId val="928081983"/>
      </c:barChart>
      <c:catAx>
        <c:axId val="928067103"/>
        <c:scaling>
          <c:orientation val="maxMin"/>
        </c:scaling>
        <c:delete val="1"/>
        <c:axPos val="l"/>
        <c:numFmt formatCode="General" sourceLinked="1"/>
        <c:majorTickMark val="out"/>
        <c:minorTickMark val="none"/>
        <c:tickLblPos val="nextTo"/>
        <c:crossAx val="928081983"/>
        <c:crosses val="autoZero"/>
        <c:auto val="1"/>
        <c:lblAlgn val="ctr"/>
        <c:lblOffset val="100"/>
        <c:noMultiLvlLbl val="0"/>
      </c:catAx>
      <c:valAx>
        <c:axId val="928081983"/>
        <c:scaling>
          <c:orientation val="minMax"/>
        </c:scaling>
        <c:delete val="1"/>
        <c:axPos val="t"/>
        <c:majorGridlines>
          <c:spPr>
            <a:ln w="9525" cap="flat" cmpd="sng" algn="ctr">
              <a:solidFill>
                <a:schemeClr val="tx1">
                  <a:lumMod val="15000"/>
                  <a:lumOff val="85000"/>
                </a:schemeClr>
              </a:solidFill>
              <a:round/>
            </a:ln>
            <a:effectLst/>
          </c:spPr>
        </c:majorGridlines>
        <c:numFmt formatCode="\$#,###.0,&quot;K&quot;" sourceLinked="1"/>
        <c:majorTickMark val="out"/>
        <c:minorTickMark val="none"/>
        <c:tickLblPos val="nextTo"/>
        <c:crossAx val="92806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[07.sample-data-excel-portfolio-project.xlsx]Project_excel!PivotTable6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Female</a:t>
            </a:r>
            <a:r>
              <a:rPr lang="en-IN" b="1" baseline="0"/>
              <a:t> vs </a:t>
            </a:r>
            <a:r>
              <a:rPr lang="en-IN" b="1" baseline="0">
                <a:solidFill>
                  <a:schemeClr val="accent6">
                    <a:lumMod val="75000"/>
                  </a:schemeClr>
                </a:solidFill>
              </a:rPr>
              <a:t>Male</a:t>
            </a:r>
            <a:r>
              <a:rPr lang="en-IN" b="1" baseline="0"/>
              <a:t> Callers</a:t>
            </a:r>
          </a:p>
        </c:rich>
      </c:tx>
      <c:layout>
        <c:manualLayout>
          <c:xMode val="edge"/>
          <c:yMode val="edge"/>
          <c:x val="0.17797481269066764"/>
          <c:y val="3.764854467026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solidFill>
              <a:srgbClr val="92D050">
                <a:alpha val="50000"/>
              </a:srgbClr>
            </a:solid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solidFill>
              <a:srgbClr val="92D050">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rgbClr val="FF0000"/>
          </a:solidFill>
          <a:ln>
            <a:noFill/>
          </a:ln>
          <a:effectLst/>
        </c:spPr>
        <c:marker>
          <c:symbol val="none"/>
        </c:marker>
        <c:dLbl>
          <c:idx val="0"/>
          <c:spPr>
            <a:solidFill>
              <a:srgbClr val="92D050">
                <a:alpha val="50000"/>
              </a:srgbClr>
            </a:solid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solidFill>
              <a:srgbClr val="92D050">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Project_excel!$F$34:$F$35</c:f>
              <c:strCache>
                <c:ptCount val="1"/>
                <c:pt idx="0">
                  <c:v>Female</c:v>
                </c:pt>
              </c:strCache>
            </c:strRef>
          </c:tx>
          <c:spPr>
            <a:solidFill>
              <a:srgbClr val="FF0000"/>
            </a:solidFill>
            <a:ln>
              <a:noFill/>
            </a:ln>
            <a:effectLst/>
          </c:spPr>
          <c:invertIfNegative val="0"/>
          <c:dLbls>
            <c:spPr>
              <a:solidFill>
                <a:srgbClr val="92D050">
                  <a:alpha val="50000"/>
                </a:srgbClr>
              </a:solidFill>
              <a:ln>
                <a:noFill/>
              </a:ln>
              <a:effectLst/>
            </c:spPr>
            <c:txPr>
              <a:bodyPr rot="0" spcFirstLastPara="1" vertOverflow="ellipsis" vert="horz" wrap="square" lIns="38100" tIns="19050" rIns="38100" bIns="19050" anchor="ctr" anchorCtr="0">
                <a:spAutoFit/>
              </a:bodyPr>
              <a:lstStyle/>
              <a:p>
                <a:pPr algn="ctr">
                  <a:defRPr lang="en-US"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Project_excel!$E$36:$E$39</c:f>
              <c:strCache>
                <c:ptCount val="3"/>
                <c:pt idx="0">
                  <c:v>Cincinnati</c:v>
                </c:pt>
                <c:pt idx="1">
                  <c:v>Cleveland</c:v>
                </c:pt>
                <c:pt idx="2">
                  <c:v>Columbus</c:v>
                </c:pt>
              </c:strCache>
            </c:strRef>
          </c:cat>
          <c:val>
            <c:numRef>
              <c:f>Project_excel!$F$36:$F$39</c:f>
              <c:numCache>
                <c:formatCode>#,##0</c:formatCode>
                <c:ptCount val="3"/>
                <c:pt idx="0">
                  <c:v>144</c:v>
                </c:pt>
                <c:pt idx="1">
                  <c:v>326</c:v>
                </c:pt>
                <c:pt idx="2">
                  <c:v>129</c:v>
                </c:pt>
              </c:numCache>
            </c:numRef>
          </c:val>
          <c:extLst>
            <c:ext xmlns:c16="http://schemas.microsoft.com/office/drawing/2014/chart" uri="{C3380CC4-5D6E-409C-BE32-E72D297353CC}">
              <c16:uniqueId val="{00000000-0F4C-4C41-AA5A-CCB322F90CE4}"/>
            </c:ext>
          </c:extLst>
        </c:ser>
        <c:ser>
          <c:idx val="1"/>
          <c:order val="1"/>
          <c:tx>
            <c:strRef>
              <c:f>Project_excel!$G$34:$G$35</c:f>
              <c:strCache>
                <c:ptCount val="1"/>
                <c:pt idx="0">
                  <c:v>Male</c:v>
                </c:pt>
              </c:strCache>
            </c:strRef>
          </c:tx>
          <c:spPr>
            <a:solidFill>
              <a:srgbClr val="92D050"/>
            </a:solidFill>
            <a:ln>
              <a:noFill/>
            </a:ln>
            <a:effectLst/>
          </c:spPr>
          <c:invertIfNegative val="0"/>
          <c:dLbls>
            <c:spPr>
              <a:solidFill>
                <a:srgbClr val="92D050">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Project_excel!$E$36:$E$39</c:f>
              <c:strCache>
                <c:ptCount val="3"/>
                <c:pt idx="0">
                  <c:v>Cincinnati</c:v>
                </c:pt>
                <c:pt idx="1">
                  <c:v>Cleveland</c:v>
                </c:pt>
                <c:pt idx="2">
                  <c:v>Columbus</c:v>
                </c:pt>
              </c:strCache>
            </c:strRef>
          </c:cat>
          <c:val>
            <c:numRef>
              <c:f>Project_excel!$G$36:$G$39</c:f>
              <c:numCache>
                <c:formatCode>#,##0</c:formatCode>
                <c:ptCount val="3"/>
                <c:pt idx="0">
                  <c:v>132</c:v>
                </c:pt>
                <c:pt idx="1">
                  <c:v>63</c:v>
                </c:pt>
                <c:pt idx="2">
                  <c:v>206</c:v>
                </c:pt>
              </c:numCache>
            </c:numRef>
          </c:val>
          <c:extLst>
            <c:ext xmlns:c16="http://schemas.microsoft.com/office/drawing/2014/chart" uri="{C3380CC4-5D6E-409C-BE32-E72D297353CC}">
              <c16:uniqueId val="{00000001-0F4C-4C41-AA5A-CCB322F90CE4}"/>
            </c:ext>
          </c:extLst>
        </c:ser>
        <c:dLbls>
          <c:dLblPos val="ctr"/>
          <c:showLegendKey val="0"/>
          <c:showVal val="1"/>
          <c:showCatName val="0"/>
          <c:showSerName val="0"/>
          <c:showPercent val="0"/>
          <c:showBubbleSize val="0"/>
        </c:dLbls>
        <c:gapWidth val="25"/>
        <c:overlap val="100"/>
        <c:axId val="799323791"/>
        <c:axId val="799325231"/>
      </c:barChart>
      <c:catAx>
        <c:axId val="799323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99325231"/>
        <c:crosses val="autoZero"/>
        <c:auto val="1"/>
        <c:lblAlgn val="ctr"/>
        <c:lblOffset val="100"/>
        <c:noMultiLvlLbl val="0"/>
      </c:catAx>
      <c:valAx>
        <c:axId val="799325231"/>
        <c:scaling>
          <c:orientation val="minMax"/>
        </c:scaling>
        <c:delete val="1"/>
        <c:axPos val="l"/>
        <c:numFmt formatCode="0%" sourceLinked="1"/>
        <c:majorTickMark val="out"/>
        <c:minorTickMark val="none"/>
        <c:tickLblPos val="nextTo"/>
        <c:crossAx val="799323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[07.sample-data-excel-portfolio-project.xlsx]Project_excel!rep satisfaction</c:name>
    <c:fmtId val="1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Rating</a:t>
            </a:r>
          </a:p>
        </c:rich>
      </c:tx>
      <c:layout>
        <c:manualLayout>
          <c:xMode val="edge"/>
          <c:yMode val="edge"/>
          <c:x val="0.44522132188171198"/>
          <c:y val="0"/>
        </c:manualLayout>
      </c:layout>
      <c:overlay val="0"/>
      <c:spPr>
        <a:solidFill>
          <a:schemeClr val="bg1"/>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Project_excel!$F$43</c:f>
              <c:strCache>
                <c:ptCount val="1"/>
                <c:pt idx="0">
                  <c:v>Total</c:v>
                </c:pt>
              </c:strCache>
            </c:strRef>
          </c:tx>
          <c:spPr>
            <a:solidFill>
              <a:schemeClr val="accent1"/>
            </a:solidFill>
            <a:ln>
              <a:noFill/>
            </a:ln>
            <a:effectLst/>
          </c:spPr>
          <c:invertIfNegative val="0"/>
          <c:cat>
            <c:strRef>
              <c:f>Project_excel!$E$44:$E$48</c:f>
              <c:strCache>
                <c:ptCount val="4"/>
                <c:pt idx="0">
                  <c:v>2</c:v>
                </c:pt>
                <c:pt idx="1">
                  <c:v>3</c:v>
                </c:pt>
                <c:pt idx="2">
                  <c:v>4</c:v>
                </c:pt>
                <c:pt idx="3">
                  <c:v>5</c:v>
                </c:pt>
              </c:strCache>
            </c:strRef>
          </c:cat>
          <c:val>
            <c:numRef>
              <c:f>Project_excel!$F$44:$F$48</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E954-43EC-88FF-B06179587051}"/>
            </c:ext>
          </c:extLst>
        </c:ser>
        <c:dLbls>
          <c:showLegendKey val="0"/>
          <c:showVal val="0"/>
          <c:showCatName val="0"/>
          <c:showSerName val="0"/>
          <c:showPercent val="0"/>
          <c:showBubbleSize val="0"/>
        </c:dLbls>
        <c:gapWidth val="25"/>
        <c:overlap val="100"/>
        <c:axId val="811410111"/>
        <c:axId val="811384191"/>
      </c:barChart>
      <c:catAx>
        <c:axId val="81141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11384191"/>
        <c:crosses val="autoZero"/>
        <c:auto val="1"/>
        <c:lblAlgn val="ctr"/>
        <c:lblOffset val="100"/>
        <c:noMultiLvlLbl val="0"/>
      </c:catAx>
      <c:valAx>
        <c:axId val="811384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1141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609600</xdr:colOff>
      <xdr:row>1</xdr:row>
      <xdr:rowOff>171450</xdr:rowOff>
    </xdr:from>
    <xdr:to>
      <xdr:col>2</xdr:col>
      <xdr:colOff>638175</xdr:colOff>
      <xdr:row>6</xdr:row>
      <xdr:rowOff>114300</xdr:rowOff>
    </xdr:to>
    <xdr:sp macro="" textlink="">
      <xdr:nvSpPr>
        <xdr:cNvPr id="2" name="Rectangle 1">
          <a:extLst>
            <a:ext uri="{FF2B5EF4-FFF2-40B4-BE49-F238E27FC236}">
              <a16:creationId xmlns:a16="http://schemas.microsoft.com/office/drawing/2014/main" id="{6BBDB93A-1505-2348-A2A6-A2E92E78E9CA}"/>
            </a:ext>
          </a:extLst>
        </xdr:cNvPr>
        <xdr:cNvSpPr/>
      </xdr:nvSpPr>
      <xdr:spPr>
        <a:xfrm>
          <a:off x="609600" y="361950"/>
          <a:ext cx="1400175" cy="895350"/>
        </a:xfrm>
        <a:prstGeom prst="rect">
          <a:avLst/>
        </a:prstGeom>
        <a:solidFill>
          <a:srgbClr val="FF0000"/>
        </a:solidFill>
        <a:ln>
          <a:noFill/>
        </a:ln>
        <a:effectLst>
          <a:outerShdw blurRad="254000" dist="127000" dir="2700000" algn="tl" rotWithShape="0">
            <a:schemeClr val="tx1">
              <a:alpha val="50000"/>
            </a:scheme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2800" b="1">
              <a:solidFill>
                <a:schemeClr val="bg1"/>
              </a:solidFill>
            </a:rPr>
            <a:t>1,000</a:t>
          </a:r>
        </a:p>
      </xdr:txBody>
    </xdr:sp>
    <xdr:clientData/>
  </xdr:twoCellAnchor>
  <xdr:twoCellAnchor>
    <xdr:from>
      <xdr:col>1</xdr:col>
      <xdr:colOff>57150</xdr:colOff>
      <xdr:row>2</xdr:row>
      <xdr:rowOff>9525</xdr:rowOff>
    </xdr:from>
    <xdr:to>
      <xdr:col>2</xdr:col>
      <xdr:colOff>504825</xdr:colOff>
      <xdr:row>3</xdr:row>
      <xdr:rowOff>47625</xdr:rowOff>
    </xdr:to>
    <xdr:sp macro="" textlink="">
      <xdr:nvSpPr>
        <xdr:cNvPr id="4" name="TextBox 3">
          <a:extLst>
            <a:ext uri="{FF2B5EF4-FFF2-40B4-BE49-F238E27FC236}">
              <a16:creationId xmlns:a16="http://schemas.microsoft.com/office/drawing/2014/main" id="{623D57EE-17BB-4E87-BF85-E7ABAB7D36A2}"/>
            </a:ext>
          </a:extLst>
        </xdr:cNvPr>
        <xdr:cNvSpPr txBox="1"/>
      </xdr:nvSpPr>
      <xdr:spPr>
        <a:xfrm>
          <a:off x="742950" y="39052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lumMod val="95000"/>
                </a:schemeClr>
              </a:solidFill>
              <a:latin typeface="+mj-lt"/>
            </a:rPr>
            <a:t>Calls</a:t>
          </a:r>
        </a:p>
      </xdr:txBody>
    </xdr:sp>
    <xdr:clientData/>
  </xdr:twoCellAnchor>
  <xdr:twoCellAnchor editAs="oneCell">
    <xdr:from>
      <xdr:col>1</xdr:col>
      <xdr:colOff>1</xdr:colOff>
      <xdr:row>1</xdr:row>
      <xdr:rowOff>171451</xdr:rowOff>
    </xdr:from>
    <xdr:to>
      <xdr:col>1</xdr:col>
      <xdr:colOff>276225</xdr:colOff>
      <xdr:row>3</xdr:row>
      <xdr:rowOff>66675</xdr:rowOff>
    </xdr:to>
    <xdr:pic>
      <xdr:nvPicPr>
        <xdr:cNvPr id="5" name="Graphic 4" descr="Receiver with solid fill">
          <a:extLst>
            <a:ext uri="{FF2B5EF4-FFF2-40B4-BE49-F238E27FC236}">
              <a16:creationId xmlns:a16="http://schemas.microsoft.com/office/drawing/2014/main" id="{F8C17352-7589-4040-B39E-C8D979A0FD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64398">
          <a:off x="685801" y="361951"/>
          <a:ext cx="276224" cy="276224"/>
        </a:xfrm>
        <a:prstGeom prst="rect">
          <a:avLst/>
        </a:prstGeom>
      </xdr:spPr>
    </xdr:pic>
    <xdr:clientData/>
  </xdr:twoCellAnchor>
  <xdr:twoCellAnchor>
    <xdr:from>
      <xdr:col>1</xdr:col>
      <xdr:colOff>171450</xdr:colOff>
      <xdr:row>5</xdr:row>
      <xdr:rowOff>0</xdr:rowOff>
    </xdr:from>
    <xdr:to>
      <xdr:col>2</xdr:col>
      <xdr:colOff>409575</xdr:colOff>
      <xdr:row>6</xdr:row>
      <xdr:rowOff>114300</xdr:rowOff>
    </xdr:to>
    <xdr:sp macro="" textlink="Project_excel!A11">
      <xdr:nvSpPr>
        <xdr:cNvPr id="6" name="TextBox 5">
          <a:extLst>
            <a:ext uri="{FF2B5EF4-FFF2-40B4-BE49-F238E27FC236}">
              <a16:creationId xmlns:a16="http://schemas.microsoft.com/office/drawing/2014/main" id="{E427558D-E2F6-F86D-D6E7-46A508FCBF8E}"/>
            </a:ext>
          </a:extLst>
        </xdr:cNvPr>
        <xdr:cNvSpPr txBox="1"/>
      </xdr:nvSpPr>
      <xdr:spPr>
        <a:xfrm>
          <a:off x="857250" y="952500"/>
          <a:ext cx="9239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B90099-3410-4AEF-B652-9DF3068011CB}" type="TxLink">
            <a:rPr lang="en-US" sz="1400" b="1" i="0" u="none" strike="noStrike">
              <a:solidFill>
                <a:schemeClr val="bg1">
                  <a:lumMod val="95000"/>
                </a:schemeClr>
              </a:solidFill>
              <a:latin typeface="+mj-lt"/>
            </a:rPr>
            <a:pPr algn="ctr"/>
            <a:t>200</a:t>
          </a:fld>
          <a:endParaRPr lang="en-IN" sz="1400" b="1">
            <a:solidFill>
              <a:schemeClr val="bg1">
                <a:lumMod val="95000"/>
              </a:schemeClr>
            </a:solidFill>
            <a:latin typeface="+mj-lt"/>
          </a:endParaRPr>
        </a:p>
      </xdr:txBody>
    </xdr:sp>
    <xdr:clientData/>
  </xdr:twoCellAnchor>
  <xdr:twoCellAnchor>
    <xdr:from>
      <xdr:col>1</xdr:col>
      <xdr:colOff>0</xdr:colOff>
      <xdr:row>8</xdr:row>
      <xdr:rowOff>0</xdr:rowOff>
    </xdr:from>
    <xdr:to>
      <xdr:col>3</xdr:col>
      <xdr:colOff>22151</xdr:colOff>
      <xdr:row>12</xdr:row>
      <xdr:rowOff>155058</xdr:rowOff>
    </xdr:to>
    <xdr:sp macro="" textlink="Project_excel!B4">
      <xdr:nvSpPr>
        <xdr:cNvPr id="17" name="Rectangle 16">
          <a:extLst>
            <a:ext uri="{FF2B5EF4-FFF2-40B4-BE49-F238E27FC236}">
              <a16:creationId xmlns:a16="http://schemas.microsoft.com/office/drawing/2014/main" id="{AB2154D8-83FE-41E7-9A23-90C065918338}"/>
            </a:ext>
          </a:extLst>
        </xdr:cNvPr>
        <xdr:cNvSpPr/>
      </xdr:nvSpPr>
      <xdr:spPr>
        <a:xfrm>
          <a:off x="686686" y="1506279"/>
          <a:ext cx="1395523" cy="908198"/>
        </a:xfrm>
        <a:prstGeom prst="rect">
          <a:avLst/>
        </a:prstGeom>
        <a:solidFill>
          <a:srgbClr val="FF0000"/>
        </a:solidFill>
        <a:ln>
          <a:noFill/>
        </a:ln>
        <a:effectLst>
          <a:outerShdw blurRad="254000" dist="127000" dir="2700000" algn="tl" rotWithShape="0">
            <a:schemeClr val="tx1">
              <a:alpha val="50000"/>
            </a:scheme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F98597A9-4D62-495C-A86F-A32EAA868DED}" type="TxLink">
            <a:rPr lang="en-US" sz="2400" b="1">
              <a:solidFill>
                <a:schemeClr val="bg1"/>
              </a:solidFill>
              <a:latin typeface="+mn-lt"/>
              <a:ea typeface="+mn-ea"/>
              <a:cs typeface="+mn-cs"/>
            </a:rPr>
            <a:pPr marL="0" indent="0" algn="ctr"/>
            <a:t>$96,623</a:t>
          </a:fld>
          <a:endParaRPr lang="en-US" sz="2400" b="1">
            <a:solidFill>
              <a:schemeClr val="bg1"/>
            </a:solidFill>
            <a:latin typeface="+mn-lt"/>
            <a:ea typeface="+mn-ea"/>
            <a:cs typeface="+mn-cs"/>
          </a:endParaRPr>
        </a:p>
      </xdr:txBody>
    </xdr:sp>
    <xdr:clientData/>
  </xdr:twoCellAnchor>
  <xdr:twoCellAnchor>
    <xdr:from>
      <xdr:col>1</xdr:col>
      <xdr:colOff>133350</xdr:colOff>
      <xdr:row>8</xdr:row>
      <xdr:rowOff>28575</xdr:rowOff>
    </xdr:from>
    <xdr:to>
      <xdr:col>2</xdr:col>
      <xdr:colOff>581025</xdr:colOff>
      <xdr:row>9</xdr:row>
      <xdr:rowOff>66675</xdr:rowOff>
    </xdr:to>
    <xdr:sp macro="" textlink="">
      <xdr:nvSpPr>
        <xdr:cNvPr id="18" name="TextBox 17">
          <a:extLst>
            <a:ext uri="{FF2B5EF4-FFF2-40B4-BE49-F238E27FC236}">
              <a16:creationId xmlns:a16="http://schemas.microsoft.com/office/drawing/2014/main" id="{042612C4-1278-4AD7-B149-B394DEA89F1A}"/>
            </a:ext>
          </a:extLst>
        </xdr:cNvPr>
        <xdr:cNvSpPr txBox="1"/>
      </xdr:nvSpPr>
      <xdr:spPr>
        <a:xfrm>
          <a:off x="819150" y="155257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lumMod val="95000"/>
                </a:schemeClr>
              </a:solidFill>
              <a:latin typeface="+mj-lt"/>
            </a:rPr>
            <a:t>Amount</a:t>
          </a:r>
        </a:p>
      </xdr:txBody>
    </xdr:sp>
    <xdr:clientData/>
  </xdr:twoCellAnchor>
  <xdr:twoCellAnchor editAs="oneCell">
    <xdr:from>
      <xdr:col>1</xdr:col>
      <xdr:colOff>28576</xdr:colOff>
      <xdr:row>8</xdr:row>
      <xdr:rowOff>15875</xdr:rowOff>
    </xdr:from>
    <xdr:to>
      <xdr:col>1</xdr:col>
      <xdr:colOff>304800</xdr:colOff>
      <xdr:row>9</xdr:row>
      <xdr:rowOff>101599</xdr:rowOff>
    </xdr:to>
    <xdr:pic>
      <xdr:nvPicPr>
        <xdr:cNvPr id="19" name="Graphic 18">
          <a:extLst>
            <a:ext uri="{FF2B5EF4-FFF2-40B4-BE49-F238E27FC236}">
              <a16:creationId xmlns:a16="http://schemas.microsoft.com/office/drawing/2014/main" id="{88EE8CCB-B74A-454B-8655-474DCA3C36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11201" y="1539875"/>
          <a:ext cx="276224" cy="276224"/>
        </a:xfrm>
        <a:prstGeom prst="rect">
          <a:avLst/>
        </a:prstGeom>
      </xdr:spPr>
    </xdr:pic>
    <xdr:clientData/>
  </xdr:twoCellAnchor>
  <xdr:twoCellAnchor>
    <xdr:from>
      <xdr:col>1</xdr:col>
      <xdr:colOff>231775</xdr:colOff>
      <xdr:row>11</xdr:row>
      <xdr:rowOff>19050</xdr:rowOff>
    </xdr:from>
    <xdr:to>
      <xdr:col>2</xdr:col>
      <xdr:colOff>469900</xdr:colOff>
      <xdr:row>12</xdr:row>
      <xdr:rowOff>133350</xdr:rowOff>
    </xdr:to>
    <xdr:sp macro="" textlink="Project_excel!B11">
      <xdr:nvSpPr>
        <xdr:cNvPr id="20" name="TextBox 19">
          <a:extLst>
            <a:ext uri="{FF2B5EF4-FFF2-40B4-BE49-F238E27FC236}">
              <a16:creationId xmlns:a16="http://schemas.microsoft.com/office/drawing/2014/main" id="{1A3B9F5E-C742-4E02-8F9D-B646C5BB5FD4}"/>
            </a:ext>
          </a:extLst>
        </xdr:cNvPr>
        <xdr:cNvSpPr txBox="1"/>
      </xdr:nvSpPr>
      <xdr:spPr>
        <a:xfrm>
          <a:off x="914400" y="2114550"/>
          <a:ext cx="9207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95A9A47-337D-471F-A79B-4846F65E364C}" type="TxLink">
            <a:rPr lang="en-US" sz="1400" b="1" i="0" u="none" strike="noStrike">
              <a:solidFill>
                <a:schemeClr val="bg1">
                  <a:lumMod val="95000"/>
                </a:schemeClr>
              </a:solidFill>
              <a:latin typeface="+mj-lt"/>
              <a:ea typeface="+mn-ea"/>
              <a:cs typeface="+mn-cs"/>
            </a:rPr>
            <a:pPr marL="0" indent="0" algn="ctr"/>
            <a:t>$20,104</a:t>
          </a:fld>
          <a:endParaRPr lang="en-IN" sz="1400" b="1" i="0" u="none" strike="noStrike">
            <a:solidFill>
              <a:schemeClr val="bg1">
                <a:lumMod val="95000"/>
              </a:schemeClr>
            </a:solidFill>
            <a:latin typeface="+mj-lt"/>
            <a:ea typeface="+mn-ea"/>
            <a:cs typeface="+mn-cs"/>
          </a:endParaRPr>
        </a:p>
      </xdr:txBody>
    </xdr:sp>
    <xdr:clientData/>
  </xdr:twoCellAnchor>
  <xdr:twoCellAnchor>
    <xdr:from>
      <xdr:col>1</xdr:col>
      <xdr:colOff>0</xdr:colOff>
      <xdr:row>15</xdr:row>
      <xdr:rowOff>0</xdr:rowOff>
    </xdr:from>
    <xdr:to>
      <xdr:col>3</xdr:col>
      <xdr:colOff>28575</xdr:colOff>
      <xdr:row>19</xdr:row>
      <xdr:rowOff>133350</xdr:rowOff>
    </xdr:to>
    <xdr:sp macro="" textlink="Project_excel!C4">
      <xdr:nvSpPr>
        <xdr:cNvPr id="21" name="Rectangle 20">
          <a:extLst>
            <a:ext uri="{FF2B5EF4-FFF2-40B4-BE49-F238E27FC236}">
              <a16:creationId xmlns:a16="http://schemas.microsoft.com/office/drawing/2014/main" id="{3C0B8DE8-4B30-4D6D-914B-A910B95A033C}"/>
            </a:ext>
          </a:extLst>
        </xdr:cNvPr>
        <xdr:cNvSpPr/>
      </xdr:nvSpPr>
      <xdr:spPr>
        <a:xfrm>
          <a:off x="685800" y="2857500"/>
          <a:ext cx="1400175" cy="895350"/>
        </a:xfrm>
        <a:prstGeom prst="rect">
          <a:avLst/>
        </a:prstGeom>
        <a:solidFill>
          <a:srgbClr val="FF0000"/>
        </a:solidFill>
        <a:ln>
          <a:noFill/>
        </a:ln>
        <a:effectLst>
          <a:outerShdw blurRad="254000" dist="127000" dir="2700000" algn="tl" rotWithShape="0">
            <a:schemeClr val="tx1">
              <a:alpha val="50000"/>
            </a:scheme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1FBE2A74-7096-426E-8BF8-24D6E2196AF7}" type="TxLink">
            <a:rPr lang="en-US" sz="2800" b="1">
              <a:solidFill>
                <a:schemeClr val="bg1"/>
              </a:solidFill>
              <a:latin typeface="+mn-lt"/>
              <a:ea typeface="+mn-ea"/>
              <a:cs typeface="+mn-cs"/>
            </a:rPr>
            <a:pPr marL="0" indent="0" algn="ctr"/>
            <a:t>89,850</a:t>
          </a:fld>
          <a:endParaRPr lang="en-US" sz="2800" b="1">
            <a:solidFill>
              <a:schemeClr val="bg1"/>
            </a:solidFill>
            <a:latin typeface="+mn-lt"/>
            <a:ea typeface="+mn-ea"/>
            <a:cs typeface="+mn-cs"/>
          </a:endParaRPr>
        </a:p>
      </xdr:txBody>
    </xdr:sp>
    <xdr:clientData/>
  </xdr:twoCellAnchor>
  <xdr:twoCellAnchor>
    <xdr:from>
      <xdr:col>1</xdr:col>
      <xdr:colOff>133350</xdr:colOff>
      <xdr:row>15</xdr:row>
      <xdr:rowOff>28575</xdr:rowOff>
    </xdr:from>
    <xdr:to>
      <xdr:col>2</xdr:col>
      <xdr:colOff>581025</xdr:colOff>
      <xdr:row>16</xdr:row>
      <xdr:rowOff>66675</xdr:rowOff>
    </xdr:to>
    <xdr:sp macro="" textlink="Project_excel!C3">
      <xdr:nvSpPr>
        <xdr:cNvPr id="22" name="TextBox 21">
          <a:extLst>
            <a:ext uri="{FF2B5EF4-FFF2-40B4-BE49-F238E27FC236}">
              <a16:creationId xmlns:a16="http://schemas.microsoft.com/office/drawing/2014/main" id="{ED01DADA-C6F9-47CE-81A9-C4378DDD8AEF}"/>
            </a:ext>
          </a:extLst>
        </xdr:cNvPr>
        <xdr:cNvSpPr txBox="1"/>
      </xdr:nvSpPr>
      <xdr:spPr>
        <a:xfrm>
          <a:off x="819150" y="2886075"/>
          <a:ext cx="11334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C691F1-0DE7-486F-A8FD-BDA47F55DE89}" type="TxLink">
            <a:rPr lang="en-US" sz="1400" b="1" i="0" u="none" strike="noStrike">
              <a:solidFill>
                <a:schemeClr val="bg1">
                  <a:lumMod val="95000"/>
                </a:schemeClr>
              </a:solidFill>
              <a:latin typeface="Aptos"/>
            </a:rPr>
            <a:pPr algn="ctr"/>
            <a:t>Total Duration</a:t>
          </a:fld>
          <a:endParaRPr lang="en-IN" sz="1400" b="1">
            <a:solidFill>
              <a:schemeClr val="bg1">
                <a:lumMod val="95000"/>
              </a:schemeClr>
            </a:solidFill>
            <a:latin typeface="+mj-lt"/>
          </a:endParaRPr>
        </a:p>
      </xdr:txBody>
    </xdr:sp>
    <xdr:clientData/>
  </xdr:twoCellAnchor>
  <xdr:twoCellAnchor editAs="oneCell">
    <xdr:from>
      <xdr:col>0</xdr:col>
      <xdr:colOff>679451</xdr:colOff>
      <xdr:row>15</xdr:row>
      <xdr:rowOff>15875</xdr:rowOff>
    </xdr:from>
    <xdr:to>
      <xdr:col>1</xdr:col>
      <xdr:colOff>257176</xdr:colOff>
      <xdr:row>16</xdr:row>
      <xdr:rowOff>85725</xdr:rowOff>
    </xdr:to>
    <xdr:pic>
      <xdr:nvPicPr>
        <xdr:cNvPr id="23" name="Graphic 22">
          <a:extLst>
            <a:ext uri="{FF2B5EF4-FFF2-40B4-BE49-F238E27FC236}">
              <a16:creationId xmlns:a16="http://schemas.microsoft.com/office/drawing/2014/main" id="{AE3C3768-91B7-4F7A-9C07-E4DAD958F60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79451" y="2873375"/>
          <a:ext cx="260350" cy="260350"/>
        </a:xfrm>
        <a:prstGeom prst="rect">
          <a:avLst/>
        </a:prstGeom>
      </xdr:spPr>
    </xdr:pic>
    <xdr:clientData/>
  </xdr:twoCellAnchor>
  <xdr:twoCellAnchor>
    <xdr:from>
      <xdr:col>1</xdr:col>
      <xdr:colOff>247650</xdr:colOff>
      <xdr:row>18</xdr:row>
      <xdr:rowOff>19050</xdr:rowOff>
    </xdr:from>
    <xdr:to>
      <xdr:col>2</xdr:col>
      <xdr:colOff>485775</xdr:colOff>
      <xdr:row>19</xdr:row>
      <xdr:rowOff>133350</xdr:rowOff>
    </xdr:to>
    <xdr:sp macro="" textlink="Project_excel!C11">
      <xdr:nvSpPr>
        <xdr:cNvPr id="24" name="TextBox 23">
          <a:extLst>
            <a:ext uri="{FF2B5EF4-FFF2-40B4-BE49-F238E27FC236}">
              <a16:creationId xmlns:a16="http://schemas.microsoft.com/office/drawing/2014/main" id="{955B0008-A082-4065-9FA2-E555D1EDEF3D}"/>
            </a:ext>
          </a:extLst>
        </xdr:cNvPr>
        <xdr:cNvSpPr txBox="1"/>
      </xdr:nvSpPr>
      <xdr:spPr>
        <a:xfrm>
          <a:off x="933450" y="3448050"/>
          <a:ext cx="9239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16A5B86-10D8-4A64-A023-1C10016D761C}" type="TxLink">
            <a:rPr lang="en-US" sz="1400" b="1" i="0" u="none" strike="noStrike">
              <a:solidFill>
                <a:schemeClr val="bg1">
                  <a:lumMod val="95000"/>
                </a:schemeClr>
              </a:solidFill>
              <a:latin typeface="+mj-lt"/>
              <a:ea typeface="+mn-ea"/>
              <a:cs typeface="+mn-cs"/>
            </a:rPr>
            <a:pPr marL="0" indent="0" algn="ctr"/>
            <a:t>18,209</a:t>
          </a:fld>
          <a:endParaRPr lang="en-IN" sz="1400" b="1" i="0" u="none" strike="noStrike">
            <a:solidFill>
              <a:schemeClr val="bg1">
                <a:lumMod val="95000"/>
              </a:schemeClr>
            </a:solidFill>
            <a:latin typeface="+mj-lt"/>
            <a:ea typeface="+mn-ea"/>
            <a:cs typeface="+mn-cs"/>
          </a:endParaRPr>
        </a:p>
      </xdr:txBody>
    </xdr:sp>
    <xdr:clientData/>
  </xdr:twoCellAnchor>
  <xdr:twoCellAnchor>
    <xdr:from>
      <xdr:col>1</xdr:col>
      <xdr:colOff>0</xdr:colOff>
      <xdr:row>22</xdr:row>
      <xdr:rowOff>0</xdr:rowOff>
    </xdr:from>
    <xdr:to>
      <xdr:col>3</xdr:col>
      <xdr:colOff>28575</xdr:colOff>
      <xdr:row>26</xdr:row>
      <xdr:rowOff>136878</xdr:rowOff>
    </xdr:to>
    <xdr:sp macro="" textlink="Project_excel!D4">
      <xdr:nvSpPr>
        <xdr:cNvPr id="25" name="Rectangle 24">
          <a:extLst>
            <a:ext uri="{FF2B5EF4-FFF2-40B4-BE49-F238E27FC236}">
              <a16:creationId xmlns:a16="http://schemas.microsoft.com/office/drawing/2014/main" id="{51E13D63-8604-4FDE-9C63-F98CF4566328}"/>
            </a:ext>
          </a:extLst>
        </xdr:cNvPr>
        <xdr:cNvSpPr/>
      </xdr:nvSpPr>
      <xdr:spPr>
        <a:xfrm>
          <a:off x="687917" y="4268611"/>
          <a:ext cx="1404408" cy="912989"/>
        </a:xfrm>
        <a:prstGeom prst="rect">
          <a:avLst/>
        </a:prstGeom>
        <a:solidFill>
          <a:srgbClr val="FF0000"/>
        </a:solidFill>
        <a:ln>
          <a:noFill/>
        </a:ln>
        <a:effectLst>
          <a:outerShdw blurRad="254000" dist="127000" dir="2700000" algn="tl" rotWithShape="0">
            <a:schemeClr val="tx1">
              <a:alpha val="50000"/>
            </a:scheme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3A7F2E74-D27E-47E3-99C2-5CED8DEF99F3}" type="TxLink">
            <a:rPr lang="en-US" sz="2800" b="1">
              <a:solidFill>
                <a:schemeClr val="bg1"/>
              </a:solidFill>
              <a:latin typeface="+mn-lt"/>
              <a:ea typeface="+mn-ea"/>
              <a:cs typeface="+mn-cs"/>
            </a:rPr>
            <a:pPr marL="0" indent="0" algn="ctr"/>
            <a:t>3.9</a:t>
          </a:fld>
          <a:endParaRPr lang="en-US" sz="2800" b="1">
            <a:solidFill>
              <a:schemeClr val="bg1"/>
            </a:solidFill>
            <a:latin typeface="+mn-lt"/>
            <a:ea typeface="+mn-ea"/>
            <a:cs typeface="+mn-cs"/>
          </a:endParaRPr>
        </a:p>
      </xdr:txBody>
    </xdr:sp>
    <xdr:clientData/>
  </xdr:twoCellAnchor>
  <xdr:twoCellAnchor>
    <xdr:from>
      <xdr:col>1</xdr:col>
      <xdr:colOff>135467</xdr:colOff>
      <xdr:row>22</xdr:row>
      <xdr:rowOff>32103</xdr:rowOff>
    </xdr:from>
    <xdr:to>
      <xdr:col>2</xdr:col>
      <xdr:colOff>583142</xdr:colOff>
      <xdr:row>23</xdr:row>
      <xdr:rowOff>70202</xdr:rowOff>
    </xdr:to>
    <xdr:sp macro="" textlink="Project_excel!D3">
      <xdr:nvSpPr>
        <xdr:cNvPr id="26" name="TextBox 25">
          <a:extLst>
            <a:ext uri="{FF2B5EF4-FFF2-40B4-BE49-F238E27FC236}">
              <a16:creationId xmlns:a16="http://schemas.microsoft.com/office/drawing/2014/main" id="{25FA0132-F1F9-42DF-A9C9-AD1EBE2C72F6}"/>
            </a:ext>
          </a:extLst>
        </xdr:cNvPr>
        <xdr:cNvSpPr txBox="1"/>
      </xdr:nvSpPr>
      <xdr:spPr>
        <a:xfrm>
          <a:off x="823384" y="4300714"/>
          <a:ext cx="1135591" cy="232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9BCDAE5-6F68-48EC-914A-D02FFB5531A3}" type="TxLink">
            <a:rPr lang="en-US" sz="1400" b="1" i="0" u="none" strike="noStrike">
              <a:solidFill>
                <a:schemeClr val="bg1">
                  <a:lumMod val="95000"/>
                </a:schemeClr>
              </a:solidFill>
              <a:latin typeface="Aptos"/>
              <a:ea typeface="+mn-ea"/>
              <a:cs typeface="+mn-cs"/>
            </a:rPr>
            <a:pPr marL="0" indent="0" algn="ctr"/>
            <a:t>Avg_rating</a:t>
          </a:fld>
          <a:endParaRPr lang="en-IN" sz="1400" b="1" i="0" u="none" strike="noStrike">
            <a:solidFill>
              <a:schemeClr val="bg1">
                <a:lumMod val="95000"/>
              </a:schemeClr>
            </a:solidFill>
            <a:latin typeface="Aptos"/>
            <a:ea typeface="+mn-ea"/>
            <a:cs typeface="+mn-cs"/>
          </a:endParaRPr>
        </a:p>
      </xdr:txBody>
    </xdr:sp>
    <xdr:clientData/>
  </xdr:twoCellAnchor>
  <xdr:twoCellAnchor editAs="oneCell">
    <xdr:from>
      <xdr:col>1</xdr:col>
      <xdr:colOff>14818</xdr:colOff>
      <xdr:row>22</xdr:row>
      <xdr:rowOff>17639</xdr:rowOff>
    </xdr:from>
    <xdr:to>
      <xdr:col>1</xdr:col>
      <xdr:colOff>291042</xdr:colOff>
      <xdr:row>23</xdr:row>
      <xdr:rowOff>87488</xdr:rowOff>
    </xdr:to>
    <xdr:pic>
      <xdr:nvPicPr>
        <xdr:cNvPr id="27" name="Graphic 26">
          <a:extLst>
            <a:ext uri="{FF2B5EF4-FFF2-40B4-BE49-F238E27FC236}">
              <a16:creationId xmlns:a16="http://schemas.microsoft.com/office/drawing/2014/main" id="{03CAC296-B4D6-4D3A-BB02-3E77E234DC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97443" y="4208639"/>
          <a:ext cx="276224" cy="276224"/>
        </a:xfrm>
        <a:prstGeom prst="rect">
          <a:avLst/>
        </a:prstGeom>
      </xdr:spPr>
    </xdr:pic>
    <xdr:clientData/>
  </xdr:twoCellAnchor>
  <xdr:twoCellAnchor>
    <xdr:from>
      <xdr:col>1</xdr:col>
      <xdr:colOff>249767</xdr:colOff>
      <xdr:row>25</xdr:row>
      <xdr:rowOff>22578</xdr:rowOff>
    </xdr:from>
    <xdr:to>
      <xdr:col>2</xdr:col>
      <xdr:colOff>487892</xdr:colOff>
      <xdr:row>26</xdr:row>
      <xdr:rowOff>136878</xdr:rowOff>
    </xdr:to>
    <xdr:sp macro="" textlink="Project_excel!D11">
      <xdr:nvSpPr>
        <xdr:cNvPr id="28" name="TextBox 27">
          <a:extLst>
            <a:ext uri="{FF2B5EF4-FFF2-40B4-BE49-F238E27FC236}">
              <a16:creationId xmlns:a16="http://schemas.microsoft.com/office/drawing/2014/main" id="{E9B6FB9F-87C2-4F52-9DD3-D3F95A645A81}"/>
            </a:ext>
          </a:extLst>
        </xdr:cNvPr>
        <xdr:cNvSpPr txBox="1"/>
      </xdr:nvSpPr>
      <xdr:spPr>
        <a:xfrm>
          <a:off x="937684" y="4873272"/>
          <a:ext cx="926041" cy="30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47F6B97-9538-43DC-9D2E-B16F38300DAF}" type="TxLink">
            <a:rPr lang="en-US" sz="1400" b="1" i="0" u="none" strike="noStrike">
              <a:solidFill>
                <a:schemeClr val="bg1">
                  <a:lumMod val="95000"/>
                </a:schemeClr>
              </a:solidFill>
              <a:latin typeface="+mj-lt"/>
              <a:ea typeface="+mn-ea"/>
              <a:cs typeface="+mn-cs"/>
            </a:rPr>
            <a:pPr marL="0" indent="0" algn="ctr"/>
            <a:t>3.9</a:t>
          </a:fld>
          <a:endParaRPr lang="en-IN" sz="1400" b="1" i="0" u="none" strike="noStrike">
            <a:solidFill>
              <a:schemeClr val="bg1">
                <a:lumMod val="95000"/>
              </a:schemeClr>
            </a:solidFill>
            <a:latin typeface="+mj-lt"/>
            <a:ea typeface="+mn-ea"/>
            <a:cs typeface="+mn-cs"/>
          </a:endParaRPr>
        </a:p>
      </xdr:txBody>
    </xdr:sp>
    <xdr:clientData/>
  </xdr:twoCellAnchor>
  <xdr:twoCellAnchor>
    <xdr:from>
      <xdr:col>1</xdr:col>
      <xdr:colOff>0</xdr:colOff>
      <xdr:row>29</xdr:row>
      <xdr:rowOff>0</xdr:rowOff>
    </xdr:from>
    <xdr:to>
      <xdr:col>3</xdr:col>
      <xdr:colOff>28575</xdr:colOff>
      <xdr:row>33</xdr:row>
      <xdr:rowOff>136878</xdr:rowOff>
    </xdr:to>
    <xdr:sp macro="" textlink="Project_excel!E4">
      <xdr:nvSpPr>
        <xdr:cNvPr id="29" name="Rectangle 28">
          <a:extLst>
            <a:ext uri="{FF2B5EF4-FFF2-40B4-BE49-F238E27FC236}">
              <a16:creationId xmlns:a16="http://schemas.microsoft.com/office/drawing/2014/main" id="{D5C4974A-B479-4388-83A6-75C7308C9B7B}"/>
            </a:ext>
          </a:extLst>
        </xdr:cNvPr>
        <xdr:cNvSpPr/>
      </xdr:nvSpPr>
      <xdr:spPr>
        <a:xfrm>
          <a:off x="687917" y="5626806"/>
          <a:ext cx="1404408" cy="912989"/>
        </a:xfrm>
        <a:prstGeom prst="rect">
          <a:avLst/>
        </a:prstGeom>
        <a:solidFill>
          <a:srgbClr val="FF0000"/>
        </a:solidFill>
        <a:ln>
          <a:noFill/>
        </a:ln>
        <a:effectLst>
          <a:outerShdw blurRad="254000" dist="127000" dir="2700000" algn="tl" rotWithShape="0">
            <a:schemeClr val="tx1">
              <a:alpha val="50000"/>
            </a:scheme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AC085CDB-B1D2-404F-97B5-CDFF48F0FFFC}" type="TxLink">
            <a:rPr lang="en-US" sz="2800" b="1">
              <a:solidFill>
                <a:schemeClr val="bg1"/>
              </a:solidFill>
              <a:latin typeface="+mn-lt"/>
              <a:ea typeface="+mn-ea"/>
              <a:cs typeface="+mn-cs"/>
            </a:rPr>
            <a:pPr marL="0" indent="0" algn="ctr"/>
            <a:t>307</a:t>
          </a:fld>
          <a:endParaRPr lang="en-US" sz="2800" b="1">
            <a:solidFill>
              <a:schemeClr val="bg1"/>
            </a:solidFill>
            <a:latin typeface="+mn-lt"/>
            <a:ea typeface="+mn-ea"/>
            <a:cs typeface="+mn-cs"/>
          </a:endParaRPr>
        </a:p>
      </xdr:txBody>
    </xdr:sp>
    <xdr:clientData/>
  </xdr:twoCellAnchor>
  <xdr:twoCellAnchor>
    <xdr:from>
      <xdr:col>1</xdr:col>
      <xdr:colOff>183092</xdr:colOff>
      <xdr:row>29</xdr:row>
      <xdr:rowOff>15875</xdr:rowOff>
    </xdr:from>
    <xdr:to>
      <xdr:col>2</xdr:col>
      <xdr:colOff>630767</xdr:colOff>
      <xdr:row>30</xdr:row>
      <xdr:rowOff>70203</xdr:rowOff>
    </xdr:to>
    <xdr:sp macro="" textlink="Project_excel!E3">
      <xdr:nvSpPr>
        <xdr:cNvPr id="30" name="TextBox 29">
          <a:extLst>
            <a:ext uri="{FF2B5EF4-FFF2-40B4-BE49-F238E27FC236}">
              <a16:creationId xmlns:a16="http://schemas.microsoft.com/office/drawing/2014/main" id="{8047454C-8C8F-40DA-B6A1-7EC923E3E16E}"/>
            </a:ext>
          </a:extLst>
        </xdr:cNvPr>
        <xdr:cNvSpPr txBox="1"/>
      </xdr:nvSpPr>
      <xdr:spPr>
        <a:xfrm>
          <a:off x="864881" y="5540375"/>
          <a:ext cx="1129465" cy="24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0A693A7-481C-4A20-9F42-6B20B60A51CE}" type="TxLink">
            <a:rPr lang="en-US" sz="1400" b="1" i="0" u="none" strike="noStrike">
              <a:solidFill>
                <a:schemeClr val="bg1">
                  <a:lumMod val="95000"/>
                </a:schemeClr>
              </a:solidFill>
              <a:latin typeface="Aptos"/>
              <a:ea typeface="+mn-ea"/>
              <a:cs typeface="+mn-cs"/>
            </a:rPr>
            <a:pPr marL="0" indent="0" algn="ctr"/>
            <a:t>5*_calls</a:t>
          </a:fld>
          <a:endParaRPr lang="en-IN" sz="1400" b="1" i="0" u="none" strike="noStrike">
            <a:solidFill>
              <a:schemeClr val="bg1">
                <a:lumMod val="95000"/>
              </a:schemeClr>
            </a:solidFill>
            <a:latin typeface="Aptos"/>
            <a:ea typeface="+mn-ea"/>
            <a:cs typeface="+mn-cs"/>
          </a:endParaRPr>
        </a:p>
      </xdr:txBody>
    </xdr:sp>
    <xdr:clientData/>
  </xdr:twoCellAnchor>
  <xdr:twoCellAnchor editAs="oneCell">
    <xdr:from>
      <xdr:col>1</xdr:col>
      <xdr:colOff>78318</xdr:colOff>
      <xdr:row>29</xdr:row>
      <xdr:rowOff>1765</xdr:rowOff>
    </xdr:from>
    <xdr:to>
      <xdr:col>1</xdr:col>
      <xdr:colOff>354542</xdr:colOff>
      <xdr:row>30</xdr:row>
      <xdr:rowOff>71614</xdr:rowOff>
    </xdr:to>
    <xdr:pic>
      <xdr:nvPicPr>
        <xdr:cNvPr id="31" name="Graphic 30">
          <a:extLst>
            <a:ext uri="{FF2B5EF4-FFF2-40B4-BE49-F238E27FC236}">
              <a16:creationId xmlns:a16="http://schemas.microsoft.com/office/drawing/2014/main" id="{C72C8014-03AA-47CA-AB1A-AFE932A91D5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60943" y="5526265"/>
          <a:ext cx="276224" cy="276224"/>
        </a:xfrm>
        <a:prstGeom prst="rect">
          <a:avLst/>
        </a:prstGeom>
      </xdr:spPr>
    </xdr:pic>
    <xdr:clientData/>
  </xdr:twoCellAnchor>
  <xdr:twoCellAnchor>
    <xdr:from>
      <xdr:col>1</xdr:col>
      <xdr:colOff>249767</xdr:colOff>
      <xdr:row>32</xdr:row>
      <xdr:rowOff>22578</xdr:rowOff>
    </xdr:from>
    <xdr:to>
      <xdr:col>2</xdr:col>
      <xdr:colOff>487892</xdr:colOff>
      <xdr:row>33</xdr:row>
      <xdr:rowOff>136878</xdr:rowOff>
    </xdr:to>
    <xdr:sp macro="" textlink="Project_excel!E11">
      <xdr:nvSpPr>
        <xdr:cNvPr id="32" name="TextBox 31">
          <a:extLst>
            <a:ext uri="{FF2B5EF4-FFF2-40B4-BE49-F238E27FC236}">
              <a16:creationId xmlns:a16="http://schemas.microsoft.com/office/drawing/2014/main" id="{4645EBE2-BD47-477D-BA66-40893A0660AF}"/>
            </a:ext>
          </a:extLst>
        </xdr:cNvPr>
        <xdr:cNvSpPr txBox="1"/>
      </xdr:nvSpPr>
      <xdr:spPr>
        <a:xfrm>
          <a:off x="937684" y="6231467"/>
          <a:ext cx="926041" cy="30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71FDE7-9EBF-425C-8CC1-5F9EFB269F71}" type="TxLink">
            <a:rPr lang="en-US" sz="1400" b="1" i="0" u="none" strike="noStrike">
              <a:solidFill>
                <a:schemeClr val="bg1">
                  <a:lumMod val="95000"/>
                </a:schemeClr>
              </a:solidFill>
              <a:latin typeface="+mj-lt"/>
              <a:ea typeface="+mn-ea"/>
              <a:cs typeface="+mn-cs"/>
            </a:rPr>
            <a:pPr marL="0" indent="0" algn="ctr"/>
            <a:t>51</a:t>
          </a:fld>
          <a:endParaRPr lang="en-IN" sz="1400" b="1" i="0" u="none" strike="noStrike">
            <a:solidFill>
              <a:schemeClr val="bg1">
                <a:lumMod val="95000"/>
              </a:schemeClr>
            </a:solidFill>
            <a:latin typeface="+mj-lt"/>
            <a:ea typeface="+mn-ea"/>
            <a:cs typeface="+mn-cs"/>
          </a:endParaRPr>
        </a:p>
      </xdr:txBody>
    </xdr:sp>
    <xdr:clientData/>
  </xdr:twoCellAnchor>
  <xdr:twoCellAnchor editAs="oneCell">
    <xdr:from>
      <xdr:col>11</xdr:col>
      <xdr:colOff>660642</xdr:colOff>
      <xdr:row>16</xdr:row>
      <xdr:rowOff>174627</xdr:rowOff>
    </xdr:from>
    <xdr:to>
      <xdr:col>15</xdr:col>
      <xdr:colOff>647699</xdr:colOff>
      <xdr:row>25</xdr:row>
      <xdr:rowOff>190500</xdr:rowOff>
    </xdr:to>
    <mc:AlternateContent xmlns:mc="http://schemas.openxmlformats.org/markup-compatibility/2006">
      <mc:Choice xmlns:a14="http://schemas.microsoft.com/office/drawing/2010/main" Requires="a14">
        <xdr:graphicFrame macro="">
          <xdr:nvGraphicFramePr>
            <xdr:cNvPr id="33" name="Representative">
              <a:extLst>
                <a:ext uri="{FF2B5EF4-FFF2-40B4-BE49-F238E27FC236}">
                  <a16:creationId xmlns:a16="http://schemas.microsoft.com/office/drawing/2014/main" id="{19A68F59-F1CB-45D6-AA04-E2FD7ACBC02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8204442" y="3546477"/>
              <a:ext cx="3206507" cy="1882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2</xdr:row>
      <xdr:rowOff>31750</xdr:rowOff>
    </xdr:from>
    <xdr:to>
      <xdr:col>11</xdr:col>
      <xdr:colOff>619125</xdr:colOff>
      <xdr:row>16</xdr:row>
      <xdr:rowOff>107950</xdr:rowOff>
    </xdr:to>
    <xdr:graphicFrame macro="">
      <xdr:nvGraphicFramePr>
        <xdr:cNvPr id="34" name="Chart 33">
          <a:extLst>
            <a:ext uri="{FF2B5EF4-FFF2-40B4-BE49-F238E27FC236}">
              <a16:creationId xmlns:a16="http://schemas.microsoft.com/office/drawing/2014/main" id="{1343A50F-DF31-407C-A59B-35CAE2D72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555625</xdr:colOff>
      <xdr:row>2</xdr:row>
      <xdr:rowOff>47624</xdr:rowOff>
    </xdr:from>
    <xdr:to>
      <xdr:col>15</xdr:col>
      <xdr:colOff>365125</xdr:colOff>
      <xdr:row>16</xdr:row>
      <xdr:rowOff>158749</xdr:rowOff>
    </xdr:to>
    <xdr:graphicFrame macro="">
      <xdr:nvGraphicFramePr>
        <xdr:cNvPr id="35" name="Chart 34">
          <a:extLst>
            <a:ext uri="{FF2B5EF4-FFF2-40B4-BE49-F238E27FC236}">
              <a16:creationId xmlns:a16="http://schemas.microsoft.com/office/drawing/2014/main" id="{AE987CEC-C15D-4B93-BAB5-868FEFB1C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249116</xdr:colOff>
      <xdr:row>16</xdr:row>
      <xdr:rowOff>127000</xdr:rowOff>
    </xdr:from>
    <xdr:to>
      <xdr:col>11</xdr:col>
      <xdr:colOff>635000</xdr:colOff>
      <xdr:row>35</xdr:row>
      <xdr:rowOff>102577</xdr:rowOff>
    </xdr:to>
    <xdr:sp macro="" textlink="">
      <xdr:nvSpPr>
        <xdr:cNvPr id="8" name="Rectangle 7">
          <a:extLst>
            <a:ext uri="{FF2B5EF4-FFF2-40B4-BE49-F238E27FC236}">
              <a16:creationId xmlns:a16="http://schemas.microsoft.com/office/drawing/2014/main" id="{DA1B198E-4D58-3554-940D-19A51FD849C3}"/>
            </a:ext>
          </a:extLst>
        </xdr:cNvPr>
        <xdr:cNvSpPr/>
      </xdr:nvSpPr>
      <xdr:spPr>
        <a:xfrm>
          <a:off x="2296991" y="3175000"/>
          <a:ext cx="5846884" cy="3595077"/>
        </a:xfrm>
        <a:prstGeom prst="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285751</xdr:colOff>
      <xdr:row>18</xdr:row>
      <xdr:rowOff>15875</xdr:rowOff>
    </xdr:from>
    <xdr:to>
      <xdr:col>7</xdr:col>
      <xdr:colOff>587375</xdr:colOff>
      <xdr:row>34</xdr:row>
      <xdr:rowOff>161192</xdr:rowOff>
    </xdr:to>
    <xdr:graphicFrame macro="">
      <xdr:nvGraphicFramePr>
        <xdr:cNvPr id="3" name="Chart 2">
          <a:extLst>
            <a:ext uri="{FF2B5EF4-FFF2-40B4-BE49-F238E27FC236}">
              <a16:creationId xmlns:a16="http://schemas.microsoft.com/office/drawing/2014/main" id="{9E51F63C-7946-4C12-AAC5-D4E1BB3E7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472440</xdr:colOff>
      <xdr:row>19</xdr:row>
      <xdr:rowOff>87923</xdr:rowOff>
    </xdr:from>
    <xdr:to>
      <xdr:col>11</xdr:col>
      <xdr:colOff>521433</xdr:colOff>
      <xdr:row>35</xdr:row>
      <xdr:rowOff>1</xdr:rowOff>
    </xdr:to>
    <xdr:graphicFrame macro="">
      <xdr:nvGraphicFramePr>
        <xdr:cNvPr id="7" name="Chart 6">
          <a:extLst>
            <a:ext uri="{FF2B5EF4-FFF2-40B4-BE49-F238E27FC236}">
              <a16:creationId xmlns:a16="http://schemas.microsoft.com/office/drawing/2014/main" id="{33CC9C29-6DB0-4123-B359-F916B4BB9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355601</xdr:colOff>
      <xdr:row>2</xdr:row>
      <xdr:rowOff>25400</xdr:rowOff>
    </xdr:from>
    <xdr:to>
      <xdr:col>19</xdr:col>
      <xdr:colOff>419102</xdr:colOff>
      <xdr:row>16</xdr:row>
      <xdr:rowOff>104775</xdr:rowOff>
    </xdr:to>
    <xdr:graphicFrame macro="">
      <xdr:nvGraphicFramePr>
        <xdr:cNvPr id="9" name="Chart 8">
          <a:extLst>
            <a:ext uri="{FF2B5EF4-FFF2-40B4-BE49-F238E27FC236}">
              <a16:creationId xmlns:a16="http://schemas.microsoft.com/office/drawing/2014/main" id="{E656390F-AA46-4BC4-8730-9CB0B71A2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269875</xdr:colOff>
      <xdr:row>1</xdr:row>
      <xdr:rowOff>171450</xdr:rowOff>
    </xdr:from>
    <xdr:to>
      <xdr:col>23</xdr:col>
      <xdr:colOff>174625</xdr:colOff>
      <xdr:row>16</xdr:row>
      <xdr:rowOff>142875</xdr:rowOff>
    </xdr:to>
    <xdr:graphicFrame macro="">
      <xdr:nvGraphicFramePr>
        <xdr:cNvPr id="10" name="Chart 9">
          <a:extLst>
            <a:ext uri="{FF2B5EF4-FFF2-40B4-BE49-F238E27FC236}">
              <a16:creationId xmlns:a16="http://schemas.microsoft.com/office/drawing/2014/main" id="{6CDC1D74-0E81-49CE-9162-42EC58CAF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099.650350925927" backgroundQuery="1" createdVersion="8" refreshedVersion="8" minRefreshableVersion="3" recordCount="0" supportSubquery="1" supportAdvancedDrill="1" xr:uid="{97DC50C8-198D-4E50-9FBD-680049454BF1}">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_rating]" caption="Avg_rating" numFmtId="0" hierarchy="20" level="32767"/>
    <cacheField name="[Measures].[5*_calls]" caption="5*_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_rating]" caption="Avg_rating" measure="1" displayFolder="" measureGroup="calls" count="0" oneField="1">
      <fieldsUsage count="1">
        <fieldUsage x="3"/>
      </fieldsUsage>
    </cacheHierarchy>
    <cacheHierarchy uniqueName="[Measures].[5*_calls]" caption="5*_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099.674898495374" backgroundQuery="1" createdVersion="8" refreshedVersion="8" minRefreshableVersion="3" recordCount="0" supportSubquery="1" supportAdvancedDrill="1" xr:uid="{479485F9-C565-470B-9BF5-52C79A084C25}">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15591087961" backgroundQuery="1" createdVersion="8" refreshedVersion="8" minRefreshableVersion="3" recordCount="0" supportSubquery="1" supportAdvancedDrill="1" xr:uid="{86E50342-7F05-49BC-8880-22A05E6035F2}">
  <cacheSource type="external" connectionId="2"/>
  <cacheFields count="3">
    <cacheField name="[customers].[City].[City]" caption="City" numFmtId="0" hierarchy="15" level="1">
      <sharedItems count="3">
        <s v="Cincinnati"/>
        <s v="Cleveland"/>
        <s v="Columbus"/>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40421296295" backgroundQuery="1" createdVersion="8" refreshedVersion="8" minRefreshableVersion="3" recordCount="0" supportSubquery="1" supportAdvancedDrill="1" xr:uid="{0CCCB349-4AB6-4FF4-97D0-FDD037AB82CA}">
  <cacheSource type="external" connectionId="2"/>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99415277777" backgroundQuery="1" createdVersion="8" refreshedVersion="8" minRefreshableVersion="3" recordCount="0" supportSubquery="1" supportAdvancedDrill="1" xr:uid="{CE6CDF82-E53D-4881-92F1-6FCC02A8E5D3}">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_rating]" caption="Avg_rating" numFmtId="0" hierarchy="20" level="32767"/>
    <cacheField name="[Measures].[5*_calls]" caption="5*_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_rating]" caption="Avg_rating" measure="1" displayFolder="" measureGroup="calls" count="0" oneField="1">
      <fieldsUsage count="1">
        <fieldUsage x="3"/>
      </fieldsUsage>
    </cacheHierarchy>
    <cacheHierarchy uniqueName="[Measures].[5*_calls]" caption="5*_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99416087962" backgroundQuery="1" createdVersion="8" refreshedVersion="8" minRefreshableVersion="3" recordCount="0" supportSubquery="1" supportAdvancedDrill="1" xr:uid="{21695701-BD70-483F-A07F-BC583052AD83}">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99416782409" backgroundQuery="1" createdVersion="8" refreshedVersion="8" minRefreshableVersion="3" recordCount="0" supportSubquery="1" supportAdvancedDrill="1" xr:uid="{81DA9229-516D-455D-88CA-C9FFD5B93EB8}">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99417361109" backgroundQuery="1" createdVersion="8" refreshedVersion="8" minRefreshableVersion="3" recordCount="0" supportSubquery="1" supportAdvancedDrill="1" xr:uid="{83C03810-7EC2-4514-A8B3-21123F92ACA0}">
  <cacheSource type="external" connectionId="2"/>
  <cacheFields count="1">
    <cacheField name="[calls].[Representative].[Representative]" caption="Representative" numFmtId="0" hierarchy="3" level="1">
      <sharedItems count="1">
        <s v="R05"/>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100.699418055556" backgroundQuery="1" createdVersion="8" refreshedVersion="8" minRefreshableVersion="3" recordCount="0" supportSubquery="1" supportAdvancedDrill="1" xr:uid="{512CDA66-C649-4DB2-9E43-349EC8A5E973}">
  <cacheSource type="external" connectionId="2"/>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099.650343981484" backgroundQuery="1" createdVersion="3" refreshedVersion="8" minRefreshableVersion="3" recordCount="0" supportSubquery="1" supportAdvancedDrill="1" xr:uid="{D3688BA9-6AF7-48E0-A32F-7A2A52DFB7BE}">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_rating]" caption="Avg_rating" measure="1" displayFolder="" measureGroup="calls" count="0"/>
    <cacheHierarchy uniqueName="[Measures].[5*_calls]" caption="5*_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34877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0BA7EE-5BEF-41A9-B5A4-00F216491947}" name="rep amount" cacheId="40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N41:T6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4C1A9-D3FC-4F84-B3C6-D3636F2DCB14}" name="rep satisfaction" cacheId="8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E43:F4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46104-FB42-4DDD-BDB2-604B8D415F5D}" name="PivotTable6" cacheId="2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4:H39"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6206C-C3FD-46A2-A14A-61DB658DECBB}" name="selected rep" cacheId="82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L44:L4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942EB5-FD5F-4677-954C-49DD73363EB6}" name="PivotTable3" cacheId="8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5:C2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all count2" fld="3" subtotal="count" baseField="0" baseItem="0">
      <extLst>
        <ext xmlns:x14="http://schemas.microsoft.com/office/spreadsheetml/2009/9/main" uri="{E15A36E0-9728-4e99-A89B-3F7291B0FE68}">
          <x14:dataField sourceField="3" uniqueName="[__Xl2].[Measures].[call count]"/>
        </ext>
      </extLst>
    </dataField>
    <dataField fld="4" subtotal="count" baseField="0" baseItem="0">
      <extLst>
        <ext xmlns:x14="http://schemas.microsoft.com/office/spreadsheetml/2009/9/main" uri="{E15A36E0-9728-4e99-A89B-3F7291B0FE68}">
          <x14:dataField sourceField="3"/>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34A220-EE95-4295-BA8A-A7C81A59ABD1}" name="Rep_pivot" cacheId="8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5D5771-D8F3-4146-8837-D6C79DDD94C5}" name="Summary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ED6663-2277-48A2-B8C7-308F1BDC5A1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K2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23C3F9-518D-43C6-B01F-A573047E82A1}" name="PivotTable4" cacheId="8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E15:F2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F0C62E2-3379-4378-8278-D1174BEF620A}"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shrugging</v>
  </rv>
  <rv s="0">
    <v>1</v>
    <v>5</v>
    <v>A person in a skirt and a cardigan
Description automatically generated</v>
  </rv>
  <rv s="0">
    <v>2</v>
    <v>5</v>
    <v>A person in a suit and tie
Description automatically generated</v>
  </rv>
  <rv s="0">
    <v>3</v>
    <v>5</v>
    <v>Business woman raising hand</v>
  </rv>
  <rv s="0">
    <v>4</v>
    <v>5</v>
    <v>Young businessman writing on notebook</v>
  </rv>
  <rv s="0">
    <v>0</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672AA05-0397-4DFA-9456-4B75A0CBE921}" sourceName="[calls].[Representative]">
  <pivotTables>
    <pivotTable tabId="5" name="Rep_pivot"/>
    <pivotTable tabId="5" name="PivotTable3"/>
    <pivotTable tabId="5" name="PivotTable4"/>
    <pivotTable tabId="5" name="selected rep"/>
    <pivotTable tabId="5" name="rep satisfaction"/>
  </pivotTables>
  <data>
    <olap pivotCacheId="51348771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A81FADC-50F7-4F58-B6A5-A9EA470C5462}" cache="Slicer_Representative" caption="Representative" level="1" style="SlicerStyleDark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16A962-3A64-4F5A-B0E4-1B03EA1A6391}" name="Table_ExternalData_1" displayName="Table_ExternalData_1" ref="A3:M221" tableType="queryTable" totalsRowShown="0">
  <autoFilter ref="A3:M221" xr:uid="{1116A962-3A64-4F5A-B0E4-1B03EA1A6391}"/>
  <tableColumns count="13">
    <tableColumn id="1" xr3:uid="{97380FA4-7373-40E4-B534-7E39F01A14A0}" uniqueName="1" name="calls[Call number]" queryTableFieldId="1"/>
    <tableColumn id="2" xr3:uid="{8580983E-9DA7-4068-B904-0DB664447742}" uniqueName="2" name="calls[Customer ID]" queryTableFieldId="2"/>
    <tableColumn id="3" xr3:uid="{309B9D50-A177-49FA-BDA8-01340C9E5BDB}" uniqueName="3" name="calls[Duration]" queryTableFieldId="3"/>
    <tableColumn id="4" xr3:uid="{55786CE8-EB3C-4BD5-B337-FB7CFB9E5E12}" uniqueName="4" name="calls[Representative]" queryTableFieldId="4"/>
    <tableColumn id="5" xr3:uid="{5CB72090-24D3-4AD7-972A-B80F580A5386}" uniqueName="5" name="calls[Date of Call]" queryTableFieldId="5" dataDxfId="16"/>
    <tableColumn id="6" xr3:uid="{D2A5D306-3B40-49CC-86F0-D05115E03C95}" uniqueName="6" name="calls[Purchase Amount]" queryTableFieldId="6"/>
    <tableColumn id="7" xr3:uid="{2C2A645C-351C-4C6A-8FA5-36797915A045}" uniqueName="7" name="calls[Satisfaction Rating]" queryTableFieldId="7"/>
    <tableColumn id="8" xr3:uid="{539EB335-4356-4D4C-8681-4F3CFAF6F105}" uniqueName="8" name="calls[FY]" queryTableFieldId="8"/>
    <tableColumn id="9" xr3:uid="{C82085B3-1667-4BEA-B949-2AA5742861C4}" uniqueName="9" name="calls[Day of week]" queryTableFieldId="9"/>
    <tableColumn id="10" xr3:uid="{77591C10-D053-4EEC-B738-EE30C4967A1B}" uniqueName="10" name="calls[Duration Bucket]" queryTableFieldId="10"/>
    <tableColumn id="11" xr3:uid="{6D1EA80F-C988-44EA-8E6B-643B42F5EF85}" uniqueName="11" name="calls[Rating rounded]" queryTableFieldId="11"/>
    <tableColumn id="12" xr3:uid="{6570B722-BC86-4E04-BC10-6C30FB68D26B}" uniqueName="12" name="calls[Date of Call (Month)]" queryTableFieldId="12"/>
    <tableColumn id="13" xr3:uid="{0429492A-A0FB-4F34-97D4-C5E1E200D388}"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4F939-8AA5-4B50-97E2-871175FCF1B4}">
  <dimension ref="A1:M221"/>
  <sheetViews>
    <sheetView workbookViewId="0"/>
  </sheetViews>
  <sheetFormatPr defaultRowHeight="15" x14ac:dyDescent="0.25"/>
  <cols>
    <col min="1" max="1" width="18.75" bestFit="1" customWidth="1"/>
    <col min="2" max="2" width="19.25" bestFit="1" customWidth="1"/>
    <col min="3" max="3" width="15.875" bestFit="1" customWidth="1"/>
    <col min="4" max="4" width="21.25" bestFit="1" customWidth="1"/>
    <col min="5" max="5" width="18.125" bestFit="1" customWidth="1"/>
    <col min="6" max="6" width="23.75" bestFit="1" customWidth="1"/>
    <col min="7" max="7" width="24.625" bestFit="1" customWidth="1"/>
    <col min="8" max="8" width="10.25" bestFit="1" customWidth="1"/>
    <col min="9" max="9" width="18.375" bestFit="1" customWidth="1"/>
    <col min="10" max="10" width="22.25" bestFit="1" customWidth="1"/>
    <col min="11" max="11" width="21.625" bestFit="1" customWidth="1"/>
    <col min="12" max="12" width="25.25" bestFit="1" customWidth="1"/>
    <col min="13" max="13" width="30.375" bestFit="1" customWidth="1"/>
  </cols>
  <sheetData>
    <row r="1" spans="1:13" x14ac:dyDescent="0.25">
      <c r="A1" s="14" t="s">
        <v>1086</v>
      </c>
    </row>
    <row r="3" spans="1:13" x14ac:dyDescent="0.25">
      <c r="A3" t="s">
        <v>1061</v>
      </c>
      <c r="B3" t="s">
        <v>1062</v>
      </c>
      <c r="C3" t="s">
        <v>1063</v>
      </c>
      <c r="D3" t="s">
        <v>1064</v>
      </c>
      <c r="E3" t="s">
        <v>1065</v>
      </c>
      <c r="F3" t="s">
        <v>1066</v>
      </c>
      <c r="G3" t="s">
        <v>1067</v>
      </c>
      <c r="H3" t="s">
        <v>1068</v>
      </c>
      <c r="I3" t="s">
        <v>1069</v>
      </c>
      <c r="J3" t="s">
        <v>1070</v>
      </c>
      <c r="K3" t="s">
        <v>1071</v>
      </c>
      <c r="L3" t="s">
        <v>1072</v>
      </c>
      <c r="M3" t="s">
        <v>1073</v>
      </c>
    </row>
    <row r="4" spans="1:13" x14ac:dyDescent="0.25">
      <c r="A4" t="s">
        <v>28</v>
      </c>
      <c r="B4" t="s">
        <v>23</v>
      </c>
      <c r="C4">
        <v>68</v>
      </c>
      <c r="D4" t="s">
        <v>9</v>
      </c>
      <c r="E4" s="26">
        <v>44927</v>
      </c>
      <c r="F4">
        <v>66</v>
      </c>
      <c r="G4">
        <v>4.7</v>
      </c>
      <c r="H4">
        <v>2023</v>
      </c>
      <c r="I4" t="s">
        <v>1074</v>
      </c>
      <c r="J4" t="s">
        <v>1075</v>
      </c>
      <c r="K4">
        <v>5</v>
      </c>
      <c r="L4" t="s">
        <v>1049</v>
      </c>
      <c r="M4">
        <v>1</v>
      </c>
    </row>
    <row r="5" spans="1:13" x14ac:dyDescent="0.25">
      <c r="A5" t="s">
        <v>29</v>
      </c>
      <c r="B5" t="s">
        <v>21</v>
      </c>
      <c r="C5">
        <v>119</v>
      </c>
      <c r="D5" t="s">
        <v>9</v>
      </c>
      <c r="E5" s="26">
        <v>44927</v>
      </c>
      <c r="F5">
        <v>22</v>
      </c>
      <c r="G5">
        <v>2.9</v>
      </c>
      <c r="H5">
        <v>2023</v>
      </c>
      <c r="I5" t="s">
        <v>1074</v>
      </c>
      <c r="J5" t="s">
        <v>1075</v>
      </c>
      <c r="K5">
        <v>3</v>
      </c>
      <c r="L5" t="s">
        <v>1049</v>
      </c>
      <c r="M5">
        <v>1</v>
      </c>
    </row>
    <row r="6" spans="1:13" x14ac:dyDescent="0.25">
      <c r="A6" t="s">
        <v>31</v>
      </c>
      <c r="B6" t="s">
        <v>8</v>
      </c>
      <c r="C6">
        <v>49</v>
      </c>
      <c r="D6" t="s">
        <v>9</v>
      </c>
      <c r="E6" s="26">
        <v>44929</v>
      </c>
      <c r="F6">
        <v>135</v>
      </c>
      <c r="G6">
        <v>4.8</v>
      </c>
      <c r="H6">
        <v>2023</v>
      </c>
      <c r="I6" t="s">
        <v>1076</v>
      </c>
      <c r="J6" t="s">
        <v>1077</v>
      </c>
      <c r="K6">
        <v>5</v>
      </c>
      <c r="L6" t="s">
        <v>1049</v>
      </c>
      <c r="M6">
        <v>1</v>
      </c>
    </row>
    <row r="7" spans="1:13" x14ac:dyDescent="0.25">
      <c r="A7" t="s">
        <v>34</v>
      </c>
      <c r="B7" t="s">
        <v>23</v>
      </c>
      <c r="C7">
        <v>31</v>
      </c>
      <c r="D7" t="s">
        <v>9</v>
      </c>
      <c r="E7" s="26">
        <v>44929</v>
      </c>
      <c r="F7">
        <v>135</v>
      </c>
      <c r="G7">
        <v>3.6</v>
      </c>
      <c r="H7">
        <v>2023</v>
      </c>
      <c r="I7" t="s">
        <v>1076</v>
      </c>
      <c r="J7" t="s">
        <v>1077</v>
      </c>
      <c r="K7">
        <v>4</v>
      </c>
      <c r="L7" t="s">
        <v>1049</v>
      </c>
      <c r="M7">
        <v>1</v>
      </c>
    </row>
    <row r="8" spans="1:13" x14ac:dyDescent="0.25">
      <c r="A8" t="s">
        <v>36</v>
      </c>
      <c r="B8" t="s">
        <v>8</v>
      </c>
      <c r="C8">
        <v>102</v>
      </c>
      <c r="D8" t="s">
        <v>9</v>
      </c>
      <c r="E8" s="26">
        <v>44929</v>
      </c>
      <c r="F8">
        <v>69</v>
      </c>
      <c r="G8">
        <v>4.9000000000000004</v>
      </c>
      <c r="H8">
        <v>2023</v>
      </c>
      <c r="I8" t="s">
        <v>1076</v>
      </c>
      <c r="J8" t="s">
        <v>1075</v>
      </c>
      <c r="K8">
        <v>5</v>
      </c>
      <c r="L8" t="s">
        <v>1049</v>
      </c>
      <c r="M8">
        <v>1</v>
      </c>
    </row>
    <row r="9" spans="1:13" x14ac:dyDescent="0.25">
      <c r="A9" t="s">
        <v>38</v>
      </c>
      <c r="B9" t="s">
        <v>24</v>
      </c>
      <c r="C9">
        <v>98</v>
      </c>
      <c r="D9" t="s">
        <v>9</v>
      </c>
      <c r="E9" s="26">
        <v>44930</v>
      </c>
      <c r="F9">
        <v>108</v>
      </c>
      <c r="G9">
        <v>3.5</v>
      </c>
      <c r="H9">
        <v>2023</v>
      </c>
      <c r="I9" t="s">
        <v>1078</v>
      </c>
      <c r="J9" t="s">
        <v>1075</v>
      </c>
      <c r="K9">
        <v>4</v>
      </c>
      <c r="L9" t="s">
        <v>1049</v>
      </c>
      <c r="M9">
        <v>1</v>
      </c>
    </row>
    <row r="10" spans="1:13" x14ac:dyDescent="0.25">
      <c r="A10" t="s">
        <v>39</v>
      </c>
      <c r="B10" t="s">
        <v>18</v>
      </c>
      <c r="C10">
        <v>139</v>
      </c>
      <c r="D10" t="s">
        <v>9</v>
      </c>
      <c r="E10" s="26">
        <v>44930</v>
      </c>
      <c r="F10">
        <v>96</v>
      </c>
      <c r="G10">
        <v>4</v>
      </c>
      <c r="H10">
        <v>2023</v>
      </c>
      <c r="I10" t="s">
        <v>1078</v>
      </c>
      <c r="J10" t="s">
        <v>1079</v>
      </c>
      <c r="K10">
        <v>4</v>
      </c>
      <c r="L10" t="s">
        <v>1049</v>
      </c>
      <c r="M10">
        <v>1</v>
      </c>
    </row>
    <row r="11" spans="1:13" x14ac:dyDescent="0.25">
      <c r="A11" t="s">
        <v>44</v>
      </c>
      <c r="B11" t="s">
        <v>15</v>
      </c>
      <c r="C11">
        <v>54</v>
      </c>
      <c r="D11" t="s">
        <v>9</v>
      </c>
      <c r="E11" s="26">
        <v>44931</v>
      </c>
      <c r="F11">
        <v>170</v>
      </c>
      <c r="G11">
        <v>4.3</v>
      </c>
      <c r="H11">
        <v>2023</v>
      </c>
      <c r="I11" t="s">
        <v>1080</v>
      </c>
      <c r="J11" t="s">
        <v>1077</v>
      </c>
      <c r="K11">
        <v>4</v>
      </c>
      <c r="L11" t="s">
        <v>1049</v>
      </c>
      <c r="M11">
        <v>1</v>
      </c>
    </row>
    <row r="12" spans="1:13" x14ac:dyDescent="0.25">
      <c r="A12" t="s">
        <v>49</v>
      </c>
      <c r="B12" t="s">
        <v>19</v>
      </c>
      <c r="C12">
        <v>58</v>
      </c>
      <c r="D12" t="s">
        <v>9</v>
      </c>
      <c r="E12" s="26">
        <v>44934</v>
      </c>
      <c r="F12">
        <v>140</v>
      </c>
      <c r="G12">
        <v>2.1</v>
      </c>
      <c r="H12">
        <v>2023</v>
      </c>
      <c r="I12" t="s">
        <v>1074</v>
      </c>
      <c r="J12" t="s">
        <v>1077</v>
      </c>
      <c r="K12">
        <v>2</v>
      </c>
      <c r="L12" t="s">
        <v>1049</v>
      </c>
      <c r="M12">
        <v>1</v>
      </c>
    </row>
    <row r="13" spans="1:13" x14ac:dyDescent="0.25">
      <c r="A13" t="s">
        <v>59</v>
      </c>
      <c r="B13" t="s">
        <v>7</v>
      </c>
      <c r="C13">
        <v>160</v>
      </c>
      <c r="D13" t="s">
        <v>9</v>
      </c>
      <c r="E13" s="26">
        <v>44940</v>
      </c>
      <c r="F13">
        <v>105</v>
      </c>
      <c r="G13">
        <v>5</v>
      </c>
      <c r="H13">
        <v>2023</v>
      </c>
      <c r="I13" t="s">
        <v>1081</v>
      </c>
      <c r="J13" t="s">
        <v>1079</v>
      </c>
      <c r="K13">
        <v>5</v>
      </c>
      <c r="L13" t="s">
        <v>1049</v>
      </c>
      <c r="M13">
        <v>1</v>
      </c>
    </row>
    <row r="14" spans="1:13" x14ac:dyDescent="0.25">
      <c r="A14" t="s">
        <v>63</v>
      </c>
      <c r="B14" t="s">
        <v>12</v>
      </c>
      <c r="C14">
        <v>90</v>
      </c>
      <c r="D14" t="s">
        <v>9</v>
      </c>
      <c r="E14" s="26">
        <v>44942</v>
      </c>
      <c r="F14">
        <v>132</v>
      </c>
      <c r="G14">
        <v>3.2</v>
      </c>
      <c r="H14">
        <v>2023</v>
      </c>
      <c r="I14" t="s">
        <v>1082</v>
      </c>
      <c r="J14" t="s">
        <v>1075</v>
      </c>
      <c r="K14">
        <v>3</v>
      </c>
      <c r="L14" t="s">
        <v>1049</v>
      </c>
      <c r="M14">
        <v>1</v>
      </c>
    </row>
    <row r="15" spans="1:13" x14ac:dyDescent="0.25">
      <c r="A15" t="s">
        <v>67</v>
      </c>
      <c r="B15" t="s">
        <v>18</v>
      </c>
      <c r="C15">
        <v>105</v>
      </c>
      <c r="D15" t="s">
        <v>9</v>
      </c>
      <c r="E15" s="26">
        <v>44944</v>
      </c>
      <c r="F15">
        <v>80</v>
      </c>
      <c r="G15">
        <v>4.7</v>
      </c>
      <c r="H15">
        <v>2023</v>
      </c>
      <c r="I15" t="s">
        <v>1078</v>
      </c>
      <c r="J15" t="s">
        <v>1075</v>
      </c>
      <c r="K15">
        <v>5</v>
      </c>
      <c r="L15" t="s">
        <v>1049</v>
      </c>
      <c r="M15">
        <v>1</v>
      </c>
    </row>
    <row r="16" spans="1:13" x14ac:dyDescent="0.25">
      <c r="A16" t="s">
        <v>74</v>
      </c>
      <c r="B16" t="s">
        <v>20</v>
      </c>
      <c r="C16">
        <v>90</v>
      </c>
      <c r="D16" t="s">
        <v>9</v>
      </c>
      <c r="E16" s="26">
        <v>44946</v>
      </c>
      <c r="F16">
        <v>64</v>
      </c>
      <c r="G16">
        <v>3.8</v>
      </c>
      <c r="H16">
        <v>2023</v>
      </c>
      <c r="I16" t="s">
        <v>1083</v>
      </c>
      <c r="J16" t="s">
        <v>1075</v>
      </c>
      <c r="K16">
        <v>4</v>
      </c>
      <c r="L16" t="s">
        <v>1049</v>
      </c>
      <c r="M16">
        <v>1</v>
      </c>
    </row>
    <row r="17" spans="1:13" x14ac:dyDescent="0.25">
      <c r="A17" t="s">
        <v>75</v>
      </c>
      <c r="B17" t="s">
        <v>16</v>
      </c>
      <c r="C17">
        <v>37</v>
      </c>
      <c r="D17" t="s">
        <v>9</v>
      </c>
      <c r="E17" s="26">
        <v>44946</v>
      </c>
      <c r="F17">
        <v>96</v>
      </c>
      <c r="G17">
        <v>3.6</v>
      </c>
      <c r="H17">
        <v>2023</v>
      </c>
      <c r="I17" t="s">
        <v>1083</v>
      </c>
      <c r="J17" t="s">
        <v>1077</v>
      </c>
      <c r="K17">
        <v>4</v>
      </c>
      <c r="L17" t="s">
        <v>1049</v>
      </c>
      <c r="M17">
        <v>1</v>
      </c>
    </row>
    <row r="18" spans="1:13" x14ac:dyDescent="0.25">
      <c r="A18" t="s">
        <v>82</v>
      </c>
      <c r="B18" t="s">
        <v>5</v>
      </c>
      <c r="C18">
        <v>58</v>
      </c>
      <c r="D18" t="s">
        <v>9</v>
      </c>
      <c r="E18" s="26">
        <v>44949</v>
      </c>
      <c r="F18">
        <v>135</v>
      </c>
      <c r="G18">
        <v>3.3</v>
      </c>
      <c r="H18">
        <v>2023</v>
      </c>
      <c r="I18" t="s">
        <v>1082</v>
      </c>
      <c r="J18" t="s">
        <v>1077</v>
      </c>
      <c r="K18">
        <v>3</v>
      </c>
      <c r="L18" t="s">
        <v>1049</v>
      </c>
      <c r="M18">
        <v>1</v>
      </c>
    </row>
    <row r="19" spans="1:13" x14ac:dyDescent="0.25">
      <c r="A19" t="s">
        <v>83</v>
      </c>
      <c r="B19" t="s">
        <v>19</v>
      </c>
      <c r="C19">
        <v>118</v>
      </c>
      <c r="D19" t="s">
        <v>9</v>
      </c>
      <c r="E19" s="26">
        <v>44949</v>
      </c>
      <c r="F19">
        <v>126</v>
      </c>
      <c r="G19">
        <v>2.2999999999999998</v>
      </c>
      <c r="H19">
        <v>2023</v>
      </c>
      <c r="I19" t="s">
        <v>1082</v>
      </c>
      <c r="J19" t="s">
        <v>1075</v>
      </c>
      <c r="K19">
        <v>2</v>
      </c>
      <c r="L19" t="s">
        <v>1049</v>
      </c>
      <c r="M19">
        <v>1</v>
      </c>
    </row>
    <row r="20" spans="1:13" x14ac:dyDescent="0.25">
      <c r="A20" t="s">
        <v>85</v>
      </c>
      <c r="B20" t="s">
        <v>5</v>
      </c>
      <c r="C20">
        <v>95</v>
      </c>
      <c r="D20" t="s">
        <v>9</v>
      </c>
      <c r="E20" s="26">
        <v>44950</v>
      </c>
      <c r="F20">
        <v>48</v>
      </c>
      <c r="G20">
        <v>4.5999999999999996</v>
      </c>
      <c r="H20">
        <v>2023</v>
      </c>
      <c r="I20" t="s">
        <v>1076</v>
      </c>
      <c r="J20" t="s">
        <v>1075</v>
      </c>
      <c r="K20">
        <v>5</v>
      </c>
      <c r="L20" t="s">
        <v>1049</v>
      </c>
      <c r="M20">
        <v>1</v>
      </c>
    </row>
    <row r="21" spans="1:13" x14ac:dyDescent="0.25">
      <c r="A21" t="s">
        <v>91</v>
      </c>
      <c r="B21" t="s">
        <v>12</v>
      </c>
      <c r="C21">
        <v>69</v>
      </c>
      <c r="D21" t="s">
        <v>9</v>
      </c>
      <c r="E21" s="26">
        <v>44952</v>
      </c>
      <c r="F21">
        <v>40</v>
      </c>
      <c r="G21">
        <v>3.8</v>
      </c>
      <c r="H21">
        <v>2023</v>
      </c>
      <c r="I21" t="s">
        <v>1080</v>
      </c>
      <c r="J21" t="s">
        <v>1075</v>
      </c>
      <c r="K21">
        <v>4</v>
      </c>
      <c r="L21" t="s">
        <v>1049</v>
      </c>
      <c r="M21">
        <v>1</v>
      </c>
    </row>
    <row r="22" spans="1:13" x14ac:dyDescent="0.25">
      <c r="A22" t="s">
        <v>102</v>
      </c>
      <c r="B22" t="s">
        <v>18</v>
      </c>
      <c r="C22">
        <v>145</v>
      </c>
      <c r="D22" t="s">
        <v>9</v>
      </c>
      <c r="E22" s="26">
        <v>44956</v>
      </c>
      <c r="F22">
        <v>78</v>
      </c>
      <c r="G22">
        <v>1.9</v>
      </c>
      <c r="H22">
        <v>2023</v>
      </c>
      <c r="I22" t="s">
        <v>1082</v>
      </c>
      <c r="J22" t="s">
        <v>1079</v>
      </c>
      <c r="K22">
        <v>2</v>
      </c>
      <c r="L22" t="s">
        <v>1049</v>
      </c>
      <c r="M22">
        <v>1</v>
      </c>
    </row>
    <row r="23" spans="1:13" x14ac:dyDescent="0.25">
      <c r="A23" t="s">
        <v>113</v>
      </c>
      <c r="B23" t="s">
        <v>12</v>
      </c>
      <c r="C23">
        <v>47</v>
      </c>
      <c r="D23" t="s">
        <v>9</v>
      </c>
      <c r="E23" s="26">
        <v>44959</v>
      </c>
      <c r="F23">
        <v>34</v>
      </c>
      <c r="G23">
        <v>2.1</v>
      </c>
      <c r="H23">
        <v>2023</v>
      </c>
      <c r="I23" t="s">
        <v>1080</v>
      </c>
      <c r="J23" t="s">
        <v>1077</v>
      </c>
      <c r="K23">
        <v>2</v>
      </c>
      <c r="L23" t="s">
        <v>1050</v>
      </c>
      <c r="M23">
        <v>2</v>
      </c>
    </row>
    <row r="24" spans="1:13" x14ac:dyDescent="0.25">
      <c r="A24" t="s">
        <v>119</v>
      </c>
      <c r="B24" t="s">
        <v>16</v>
      </c>
      <c r="C24">
        <v>152</v>
      </c>
      <c r="D24" t="s">
        <v>9</v>
      </c>
      <c r="E24" s="26">
        <v>44964</v>
      </c>
      <c r="F24">
        <v>123</v>
      </c>
      <c r="G24">
        <v>4.5999999999999996</v>
      </c>
      <c r="H24">
        <v>2023</v>
      </c>
      <c r="I24" t="s">
        <v>1076</v>
      </c>
      <c r="J24" t="s">
        <v>1079</v>
      </c>
      <c r="K24">
        <v>5</v>
      </c>
      <c r="L24" t="s">
        <v>1050</v>
      </c>
      <c r="M24">
        <v>2</v>
      </c>
    </row>
    <row r="25" spans="1:13" x14ac:dyDescent="0.25">
      <c r="A25" t="s">
        <v>120</v>
      </c>
      <c r="B25" t="s">
        <v>23</v>
      </c>
      <c r="C25">
        <v>132</v>
      </c>
      <c r="D25" t="s">
        <v>9</v>
      </c>
      <c r="E25" s="26">
        <v>44964</v>
      </c>
      <c r="F25">
        <v>43</v>
      </c>
      <c r="G25">
        <v>4.5999999999999996</v>
      </c>
      <c r="H25">
        <v>2023</v>
      </c>
      <c r="I25" t="s">
        <v>1076</v>
      </c>
      <c r="J25" t="s">
        <v>1079</v>
      </c>
      <c r="K25">
        <v>5</v>
      </c>
      <c r="L25" t="s">
        <v>1050</v>
      </c>
      <c r="M25">
        <v>2</v>
      </c>
    </row>
    <row r="26" spans="1:13" x14ac:dyDescent="0.25">
      <c r="A26" t="s">
        <v>122</v>
      </c>
      <c r="B26" t="s">
        <v>16</v>
      </c>
      <c r="C26">
        <v>95</v>
      </c>
      <c r="D26" t="s">
        <v>9</v>
      </c>
      <c r="E26" s="26">
        <v>44965</v>
      </c>
      <c r="F26">
        <v>130</v>
      </c>
      <c r="G26">
        <v>5</v>
      </c>
      <c r="H26">
        <v>2023</v>
      </c>
      <c r="I26" t="s">
        <v>1078</v>
      </c>
      <c r="J26" t="s">
        <v>1075</v>
      </c>
      <c r="K26">
        <v>5</v>
      </c>
      <c r="L26" t="s">
        <v>1050</v>
      </c>
      <c r="M26">
        <v>2</v>
      </c>
    </row>
    <row r="27" spans="1:13" x14ac:dyDescent="0.25">
      <c r="A27" t="s">
        <v>130</v>
      </c>
      <c r="B27" t="s">
        <v>23</v>
      </c>
      <c r="C27">
        <v>78</v>
      </c>
      <c r="D27" t="s">
        <v>9</v>
      </c>
      <c r="E27" s="26">
        <v>44969</v>
      </c>
      <c r="F27">
        <v>23</v>
      </c>
      <c r="G27">
        <v>5</v>
      </c>
      <c r="H27">
        <v>2023</v>
      </c>
      <c r="I27" t="s">
        <v>1074</v>
      </c>
      <c r="J27" t="s">
        <v>1075</v>
      </c>
      <c r="K27">
        <v>5</v>
      </c>
      <c r="L27" t="s">
        <v>1050</v>
      </c>
      <c r="M27">
        <v>2</v>
      </c>
    </row>
    <row r="28" spans="1:13" x14ac:dyDescent="0.25">
      <c r="A28" t="s">
        <v>136</v>
      </c>
      <c r="B28" t="s">
        <v>12</v>
      </c>
      <c r="C28">
        <v>95</v>
      </c>
      <c r="D28" t="s">
        <v>9</v>
      </c>
      <c r="E28" s="26">
        <v>44972</v>
      </c>
      <c r="F28">
        <v>120</v>
      </c>
      <c r="G28">
        <v>4.8</v>
      </c>
      <c r="H28">
        <v>2023</v>
      </c>
      <c r="I28" t="s">
        <v>1078</v>
      </c>
      <c r="J28" t="s">
        <v>1075</v>
      </c>
      <c r="K28">
        <v>5</v>
      </c>
      <c r="L28" t="s">
        <v>1050</v>
      </c>
      <c r="M28">
        <v>2</v>
      </c>
    </row>
    <row r="29" spans="1:13" x14ac:dyDescent="0.25">
      <c r="A29" t="s">
        <v>144</v>
      </c>
      <c r="B29" t="s">
        <v>20</v>
      </c>
      <c r="C29">
        <v>99</v>
      </c>
      <c r="D29" t="s">
        <v>9</v>
      </c>
      <c r="E29" s="26">
        <v>44973</v>
      </c>
      <c r="F29">
        <v>78</v>
      </c>
      <c r="G29">
        <v>4.0999999999999996</v>
      </c>
      <c r="H29">
        <v>2023</v>
      </c>
      <c r="I29" t="s">
        <v>1080</v>
      </c>
      <c r="J29" t="s">
        <v>1075</v>
      </c>
      <c r="K29">
        <v>4</v>
      </c>
      <c r="L29" t="s">
        <v>1050</v>
      </c>
      <c r="M29">
        <v>2</v>
      </c>
    </row>
    <row r="30" spans="1:13" x14ac:dyDescent="0.25">
      <c r="A30" t="s">
        <v>148</v>
      </c>
      <c r="B30" t="s">
        <v>20</v>
      </c>
      <c r="C30">
        <v>68</v>
      </c>
      <c r="D30" t="s">
        <v>9</v>
      </c>
      <c r="E30" s="26">
        <v>44975</v>
      </c>
      <c r="F30">
        <v>22</v>
      </c>
      <c r="G30">
        <v>3.3</v>
      </c>
      <c r="H30">
        <v>2023</v>
      </c>
      <c r="I30" t="s">
        <v>1081</v>
      </c>
      <c r="J30" t="s">
        <v>1075</v>
      </c>
      <c r="K30">
        <v>3</v>
      </c>
      <c r="L30" t="s">
        <v>1050</v>
      </c>
      <c r="M30">
        <v>2</v>
      </c>
    </row>
    <row r="31" spans="1:13" x14ac:dyDescent="0.25">
      <c r="A31" t="s">
        <v>149</v>
      </c>
      <c r="B31" t="s">
        <v>18</v>
      </c>
      <c r="C31">
        <v>95</v>
      </c>
      <c r="D31" t="s">
        <v>9</v>
      </c>
      <c r="E31" s="26">
        <v>44975</v>
      </c>
      <c r="F31">
        <v>52</v>
      </c>
      <c r="G31">
        <v>4.8</v>
      </c>
      <c r="H31">
        <v>2023</v>
      </c>
      <c r="I31" t="s">
        <v>1081</v>
      </c>
      <c r="J31" t="s">
        <v>1075</v>
      </c>
      <c r="K31">
        <v>5</v>
      </c>
      <c r="L31" t="s">
        <v>1050</v>
      </c>
      <c r="M31">
        <v>2</v>
      </c>
    </row>
    <row r="32" spans="1:13" x14ac:dyDescent="0.25">
      <c r="A32" t="s">
        <v>159</v>
      </c>
      <c r="B32" t="s">
        <v>5</v>
      </c>
      <c r="C32">
        <v>138</v>
      </c>
      <c r="D32" t="s">
        <v>9</v>
      </c>
      <c r="E32" s="26">
        <v>44981</v>
      </c>
      <c r="F32">
        <v>35</v>
      </c>
      <c r="G32">
        <v>4.8</v>
      </c>
      <c r="H32">
        <v>2023</v>
      </c>
      <c r="I32" t="s">
        <v>1083</v>
      </c>
      <c r="J32" t="s">
        <v>1079</v>
      </c>
      <c r="K32">
        <v>5</v>
      </c>
      <c r="L32" t="s">
        <v>1050</v>
      </c>
      <c r="M32">
        <v>2</v>
      </c>
    </row>
    <row r="33" spans="1:13" x14ac:dyDescent="0.25">
      <c r="A33" t="s">
        <v>173</v>
      </c>
      <c r="B33" t="s">
        <v>7</v>
      </c>
      <c r="C33">
        <v>166</v>
      </c>
      <c r="D33" t="s">
        <v>9</v>
      </c>
      <c r="E33" s="26">
        <v>44986</v>
      </c>
      <c r="F33">
        <v>36</v>
      </c>
      <c r="G33">
        <v>3.8</v>
      </c>
      <c r="H33">
        <v>2023</v>
      </c>
      <c r="I33" t="s">
        <v>1078</v>
      </c>
      <c r="J33" t="s">
        <v>1079</v>
      </c>
      <c r="K33">
        <v>4</v>
      </c>
      <c r="L33" t="s">
        <v>1051</v>
      </c>
      <c r="M33">
        <v>3</v>
      </c>
    </row>
    <row r="34" spans="1:13" x14ac:dyDescent="0.25">
      <c r="A34" t="s">
        <v>181</v>
      </c>
      <c r="B34" t="s">
        <v>7</v>
      </c>
      <c r="C34">
        <v>106</v>
      </c>
      <c r="D34" t="s">
        <v>9</v>
      </c>
      <c r="E34" s="26">
        <v>44987</v>
      </c>
      <c r="F34">
        <v>108</v>
      </c>
      <c r="G34">
        <v>4.3</v>
      </c>
      <c r="H34">
        <v>2023</v>
      </c>
      <c r="I34" t="s">
        <v>1080</v>
      </c>
      <c r="J34" t="s">
        <v>1075</v>
      </c>
      <c r="K34">
        <v>4</v>
      </c>
      <c r="L34" t="s">
        <v>1051</v>
      </c>
      <c r="M34">
        <v>3</v>
      </c>
    </row>
    <row r="35" spans="1:13" x14ac:dyDescent="0.25">
      <c r="A35" t="s">
        <v>182</v>
      </c>
      <c r="B35" t="s">
        <v>12</v>
      </c>
      <c r="C35">
        <v>96</v>
      </c>
      <c r="D35" t="s">
        <v>9</v>
      </c>
      <c r="E35" s="26">
        <v>44987</v>
      </c>
      <c r="F35">
        <v>108</v>
      </c>
      <c r="G35">
        <v>5</v>
      </c>
      <c r="H35">
        <v>2023</v>
      </c>
      <c r="I35" t="s">
        <v>1080</v>
      </c>
      <c r="J35" t="s">
        <v>1075</v>
      </c>
      <c r="K35">
        <v>5</v>
      </c>
      <c r="L35" t="s">
        <v>1051</v>
      </c>
      <c r="M35">
        <v>3</v>
      </c>
    </row>
    <row r="36" spans="1:13" x14ac:dyDescent="0.25">
      <c r="A36" t="s">
        <v>183</v>
      </c>
      <c r="B36" t="s">
        <v>21</v>
      </c>
      <c r="C36">
        <v>70</v>
      </c>
      <c r="D36" t="s">
        <v>9</v>
      </c>
      <c r="E36" s="26">
        <v>44987</v>
      </c>
      <c r="F36">
        <v>28</v>
      </c>
      <c r="G36">
        <v>4.8</v>
      </c>
      <c r="H36">
        <v>2023</v>
      </c>
      <c r="I36" t="s">
        <v>1080</v>
      </c>
      <c r="J36" t="s">
        <v>1075</v>
      </c>
      <c r="K36">
        <v>5</v>
      </c>
      <c r="L36" t="s">
        <v>1051</v>
      </c>
      <c r="M36">
        <v>3</v>
      </c>
    </row>
    <row r="37" spans="1:13" x14ac:dyDescent="0.25">
      <c r="A37" t="s">
        <v>187</v>
      </c>
      <c r="B37" t="s">
        <v>12</v>
      </c>
      <c r="C37">
        <v>21</v>
      </c>
      <c r="D37" t="s">
        <v>9</v>
      </c>
      <c r="E37" s="26">
        <v>44988</v>
      </c>
      <c r="F37">
        <v>93</v>
      </c>
      <c r="G37">
        <v>3.4</v>
      </c>
      <c r="H37">
        <v>2023</v>
      </c>
      <c r="I37" t="s">
        <v>1083</v>
      </c>
      <c r="J37" t="s">
        <v>1084</v>
      </c>
      <c r="K37">
        <v>3</v>
      </c>
      <c r="L37" t="s">
        <v>1051</v>
      </c>
      <c r="M37">
        <v>3</v>
      </c>
    </row>
    <row r="38" spans="1:13" x14ac:dyDescent="0.25">
      <c r="A38" t="s">
        <v>189</v>
      </c>
      <c r="B38" t="s">
        <v>16</v>
      </c>
      <c r="C38">
        <v>131</v>
      </c>
      <c r="D38" t="s">
        <v>9</v>
      </c>
      <c r="E38" s="26">
        <v>44988</v>
      </c>
      <c r="F38">
        <v>39</v>
      </c>
      <c r="G38">
        <v>2.4</v>
      </c>
      <c r="H38">
        <v>2023</v>
      </c>
      <c r="I38" t="s">
        <v>1083</v>
      </c>
      <c r="J38" t="s">
        <v>1079</v>
      </c>
      <c r="K38">
        <v>2</v>
      </c>
      <c r="L38" t="s">
        <v>1051</v>
      </c>
      <c r="M38">
        <v>3</v>
      </c>
    </row>
    <row r="39" spans="1:13" x14ac:dyDescent="0.25">
      <c r="A39" t="s">
        <v>193</v>
      </c>
      <c r="B39" t="s">
        <v>8</v>
      </c>
      <c r="C39">
        <v>139</v>
      </c>
      <c r="D39" t="s">
        <v>9</v>
      </c>
      <c r="E39" s="26">
        <v>44989</v>
      </c>
      <c r="F39">
        <v>88</v>
      </c>
      <c r="G39">
        <v>3.4</v>
      </c>
      <c r="H39">
        <v>2023</v>
      </c>
      <c r="I39" t="s">
        <v>1081</v>
      </c>
      <c r="J39" t="s">
        <v>1079</v>
      </c>
      <c r="K39">
        <v>3</v>
      </c>
      <c r="L39" t="s">
        <v>1051</v>
      </c>
      <c r="M39">
        <v>3</v>
      </c>
    </row>
    <row r="40" spans="1:13" x14ac:dyDescent="0.25">
      <c r="A40" t="s">
        <v>198</v>
      </c>
      <c r="B40" t="s">
        <v>24</v>
      </c>
      <c r="C40">
        <v>86</v>
      </c>
      <c r="D40" t="s">
        <v>9</v>
      </c>
      <c r="E40" s="26">
        <v>44990</v>
      </c>
      <c r="F40">
        <v>27</v>
      </c>
      <c r="G40">
        <v>4.5</v>
      </c>
      <c r="H40">
        <v>2023</v>
      </c>
      <c r="I40" t="s">
        <v>1074</v>
      </c>
      <c r="J40" t="s">
        <v>1075</v>
      </c>
      <c r="K40">
        <v>5</v>
      </c>
      <c r="L40" t="s">
        <v>1051</v>
      </c>
      <c r="M40">
        <v>3</v>
      </c>
    </row>
    <row r="41" spans="1:13" x14ac:dyDescent="0.25">
      <c r="A41" t="s">
        <v>203</v>
      </c>
      <c r="B41" t="s">
        <v>7</v>
      </c>
      <c r="C41">
        <v>53</v>
      </c>
      <c r="D41" t="s">
        <v>9</v>
      </c>
      <c r="E41" s="26">
        <v>44991</v>
      </c>
      <c r="F41">
        <v>210</v>
      </c>
      <c r="G41">
        <v>3.9</v>
      </c>
      <c r="H41">
        <v>2023</v>
      </c>
      <c r="I41" t="s">
        <v>1082</v>
      </c>
      <c r="J41" t="s">
        <v>1077</v>
      </c>
      <c r="K41">
        <v>4</v>
      </c>
      <c r="L41" t="s">
        <v>1051</v>
      </c>
      <c r="M41">
        <v>3</v>
      </c>
    </row>
    <row r="42" spans="1:13" x14ac:dyDescent="0.25">
      <c r="A42" t="s">
        <v>207</v>
      </c>
      <c r="B42" t="s">
        <v>8</v>
      </c>
      <c r="C42">
        <v>115</v>
      </c>
      <c r="D42" t="s">
        <v>9</v>
      </c>
      <c r="E42" s="26">
        <v>44992</v>
      </c>
      <c r="F42">
        <v>48</v>
      </c>
      <c r="G42">
        <v>4.7</v>
      </c>
      <c r="H42">
        <v>2023</v>
      </c>
      <c r="I42" t="s">
        <v>1076</v>
      </c>
      <c r="J42" t="s">
        <v>1075</v>
      </c>
      <c r="K42">
        <v>5</v>
      </c>
      <c r="L42" t="s">
        <v>1051</v>
      </c>
      <c r="M42">
        <v>3</v>
      </c>
    </row>
    <row r="43" spans="1:13" x14ac:dyDescent="0.25">
      <c r="A43" t="s">
        <v>208</v>
      </c>
      <c r="B43" t="s">
        <v>15</v>
      </c>
      <c r="C43">
        <v>69</v>
      </c>
      <c r="D43" t="s">
        <v>9</v>
      </c>
      <c r="E43" s="26">
        <v>44992</v>
      </c>
      <c r="F43">
        <v>132</v>
      </c>
      <c r="G43">
        <v>4.5</v>
      </c>
      <c r="H43">
        <v>2023</v>
      </c>
      <c r="I43" t="s">
        <v>1076</v>
      </c>
      <c r="J43" t="s">
        <v>1075</v>
      </c>
      <c r="K43">
        <v>5</v>
      </c>
      <c r="L43" t="s">
        <v>1051</v>
      </c>
      <c r="M43">
        <v>3</v>
      </c>
    </row>
    <row r="44" spans="1:13" x14ac:dyDescent="0.25">
      <c r="A44" t="s">
        <v>215</v>
      </c>
      <c r="B44" t="s">
        <v>5</v>
      </c>
      <c r="C44">
        <v>103</v>
      </c>
      <c r="D44" t="s">
        <v>9</v>
      </c>
      <c r="E44" s="26">
        <v>44993</v>
      </c>
      <c r="F44">
        <v>117</v>
      </c>
      <c r="G44">
        <v>3</v>
      </c>
      <c r="H44">
        <v>2023</v>
      </c>
      <c r="I44" t="s">
        <v>1078</v>
      </c>
      <c r="J44" t="s">
        <v>1075</v>
      </c>
      <c r="K44">
        <v>3</v>
      </c>
      <c r="L44" t="s">
        <v>1051</v>
      </c>
      <c r="M44">
        <v>3</v>
      </c>
    </row>
    <row r="45" spans="1:13" x14ac:dyDescent="0.25">
      <c r="A45" t="s">
        <v>222</v>
      </c>
      <c r="B45" t="s">
        <v>23</v>
      </c>
      <c r="C45">
        <v>105</v>
      </c>
      <c r="D45" t="s">
        <v>9</v>
      </c>
      <c r="E45" s="26">
        <v>44995</v>
      </c>
      <c r="F45">
        <v>96</v>
      </c>
      <c r="G45">
        <v>5</v>
      </c>
      <c r="H45">
        <v>2023</v>
      </c>
      <c r="I45" t="s">
        <v>1083</v>
      </c>
      <c r="J45" t="s">
        <v>1075</v>
      </c>
      <c r="K45">
        <v>5</v>
      </c>
      <c r="L45" t="s">
        <v>1051</v>
      </c>
      <c r="M45">
        <v>3</v>
      </c>
    </row>
    <row r="46" spans="1:13" x14ac:dyDescent="0.25">
      <c r="A46" t="s">
        <v>233</v>
      </c>
      <c r="B46" t="s">
        <v>16</v>
      </c>
      <c r="C46">
        <v>46</v>
      </c>
      <c r="D46" t="s">
        <v>9</v>
      </c>
      <c r="E46" s="26">
        <v>44997</v>
      </c>
      <c r="F46">
        <v>165</v>
      </c>
      <c r="G46">
        <v>3.3</v>
      </c>
      <c r="H46">
        <v>2023</v>
      </c>
      <c r="I46" t="s">
        <v>1074</v>
      </c>
      <c r="J46" t="s">
        <v>1077</v>
      </c>
      <c r="K46">
        <v>3</v>
      </c>
      <c r="L46" t="s">
        <v>1051</v>
      </c>
      <c r="M46">
        <v>3</v>
      </c>
    </row>
    <row r="47" spans="1:13" x14ac:dyDescent="0.25">
      <c r="A47" t="s">
        <v>241</v>
      </c>
      <c r="B47" t="s">
        <v>14</v>
      </c>
      <c r="C47">
        <v>28</v>
      </c>
      <c r="D47" t="s">
        <v>9</v>
      </c>
      <c r="E47" s="26">
        <v>44999</v>
      </c>
      <c r="F47">
        <v>78</v>
      </c>
      <c r="G47">
        <v>3.8</v>
      </c>
      <c r="H47">
        <v>2023</v>
      </c>
      <c r="I47" t="s">
        <v>1076</v>
      </c>
      <c r="J47" t="s">
        <v>1084</v>
      </c>
      <c r="K47">
        <v>4</v>
      </c>
      <c r="L47" t="s">
        <v>1051</v>
      </c>
      <c r="M47">
        <v>3</v>
      </c>
    </row>
    <row r="48" spans="1:13" x14ac:dyDescent="0.25">
      <c r="A48" t="s">
        <v>245</v>
      </c>
      <c r="B48" t="s">
        <v>22</v>
      </c>
      <c r="C48">
        <v>72</v>
      </c>
      <c r="D48" t="s">
        <v>9</v>
      </c>
      <c r="E48" s="26">
        <v>44999</v>
      </c>
      <c r="F48">
        <v>132</v>
      </c>
      <c r="G48">
        <v>3.4</v>
      </c>
      <c r="H48">
        <v>2023</v>
      </c>
      <c r="I48" t="s">
        <v>1076</v>
      </c>
      <c r="J48" t="s">
        <v>1075</v>
      </c>
      <c r="K48">
        <v>3</v>
      </c>
      <c r="L48" t="s">
        <v>1051</v>
      </c>
      <c r="M48">
        <v>3</v>
      </c>
    </row>
    <row r="49" spans="1:13" x14ac:dyDescent="0.25">
      <c r="A49" t="s">
        <v>250</v>
      </c>
      <c r="B49" t="s">
        <v>12</v>
      </c>
      <c r="C49">
        <v>47</v>
      </c>
      <c r="D49" t="s">
        <v>9</v>
      </c>
      <c r="E49" s="26">
        <v>45000</v>
      </c>
      <c r="F49">
        <v>120</v>
      </c>
      <c r="G49">
        <v>3.1</v>
      </c>
      <c r="H49">
        <v>2023</v>
      </c>
      <c r="I49" t="s">
        <v>1078</v>
      </c>
      <c r="J49" t="s">
        <v>1077</v>
      </c>
      <c r="K49">
        <v>3</v>
      </c>
      <c r="L49" t="s">
        <v>1051</v>
      </c>
      <c r="M49">
        <v>3</v>
      </c>
    </row>
    <row r="50" spans="1:13" x14ac:dyDescent="0.25">
      <c r="A50" t="s">
        <v>251</v>
      </c>
      <c r="B50" t="s">
        <v>7</v>
      </c>
      <c r="C50">
        <v>74</v>
      </c>
      <c r="D50" t="s">
        <v>9</v>
      </c>
      <c r="E50" s="26">
        <v>45000</v>
      </c>
      <c r="F50">
        <v>144</v>
      </c>
      <c r="G50">
        <v>4.8</v>
      </c>
      <c r="H50">
        <v>2023</v>
      </c>
      <c r="I50" t="s">
        <v>1078</v>
      </c>
      <c r="J50" t="s">
        <v>1075</v>
      </c>
      <c r="K50">
        <v>5</v>
      </c>
      <c r="L50" t="s">
        <v>1051</v>
      </c>
      <c r="M50">
        <v>3</v>
      </c>
    </row>
    <row r="51" spans="1:13" x14ac:dyDescent="0.25">
      <c r="A51" t="s">
        <v>252</v>
      </c>
      <c r="B51" t="s">
        <v>22</v>
      </c>
      <c r="C51">
        <v>65</v>
      </c>
      <c r="D51" t="s">
        <v>9</v>
      </c>
      <c r="E51" s="26">
        <v>45000</v>
      </c>
      <c r="F51">
        <v>87</v>
      </c>
      <c r="G51">
        <v>2.7</v>
      </c>
      <c r="H51">
        <v>2023</v>
      </c>
      <c r="I51" t="s">
        <v>1078</v>
      </c>
      <c r="J51" t="s">
        <v>1075</v>
      </c>
      <c r="K51">
        <v>3</v>
      </c>
      <c r="L51" t="s">
        <v>1051</v>
      </c>
      <c r="M51">
        <v>3</v>
      </c>
    </row>
    <row r="52" spans="1:13" x14ac:dyDescent="0.25">
      <c r="A52" t="s">
        <v>256</v>
      </c>
      <c r="B52" t="s">
        <v>21</v>
      </c>
      <c r="C52">
        <v>60</v>
      </c>
      <c r="D52" t="s">
        <v>9</v>
      </c>
      <c r="E52" s="26">
        <v>45001</v>
      </c>
      <c r="F52">
        <v>68</v>
      </c>
      <c r="G52">
        <v>4.3</v>
      </c>
      <c r="H52">
        <v>2023</v>
      </c>
      <c r="I52" t="s">
        <v>1080</v>
      </c>
      <c r="J52" t="s">
        <v>1077</v>
      </c>
      <c r="K52">
        <v>4</v>
      </c>
      <c r="L52" t="s">
        <v>1051</v>
      </c>
      <c r="M52">
        <v>3</v>
      </c>
    </row>
    <row r="53" spans="1:13" x14ac:dyDescent="0.25">
      <c r="A53" t="s">
        <v>258</v>
      </c>
      <c r="B53" t="s">
        <v>8</v>
      </c>
      <c r="C53">
        <v>54</v>
      </c>
      <c r="D53" t="s">
        <v>9</v>
      </c>
      <c r="E53" s="26">
        <v>45001</v>
      </c>
      <c r="F53">
        <v>26</v>
      </c>
      <c r="G53">
        <v>4.8</v>
      </c>
      <c r="H53">
        <v>2023</v>
      </c>
      <c r="I53" t="s">
        <v>1080</v>
      </c>
      <c r="J53" t="s">
        <v>1077</v>
      </c>
      <c r="K53">
        <v>5</v>
      </c>
      <c r="L53" t="s">
        <v>1051</v>
      </c>
      <c r="M53">
        <v>3</v>
      </c>
    </row>
    <row r="54" spans="1:13" x14ac:dyDescent="0.25">
      <c r="A54" t="s">
        <v>259</v>
      </c>
      <c r="B54" t="s">
        <v>22</v>
      </c>
      <c r="C54">
        <v>104</v>
      </c>
      <c r="D54" t="s">
        <v>9</v>
      </c>
      <c r="E54" s="26">
        <v>45001</v>
      </c>
      <c r="F54">
        <v>88</v>
      </c>
      <c r="G54">
        <v>3.2</v>
      </c>
      <c r="H54">
        <v>2023</v>
      </c>
      <c r="I54" t="s">
        <v>1080</v>
      </c>
      <c r="J54" t="s">
        <v>1075</v>
      </c>
      <c r="K54">
        <v>3</v>
      </c>
      <c r="L54" t="s">
        <v>1051</v>
      </c>
      <c r="M54">
        <v>3</v>
      </c>
    </row>
    <row r="55" spans="1:13" x14ac:dyDescent="0.25">
      <c r="A55" t="s">
        <v>260</v>
      </c>
      <c r="B55" t="s">
        <v>15</v>
      </c>
      <c r="C55">
        <v>100</v>
      </c>
      <c r="D55" t="s">
        <v>9</v>
      </c>
      <c r="E55" s="26">
        <v>45001</v>
      </c>
      <c r="F55">
        <v>124</v>
      </c>
      <c r="G55">
        <v>3.4</v>
      </c>
      <c r="H55">
        <v>2023</v>
      </c>
      <c r="I55" t="s">
        <v>1080</v>
      </c>
      <c r="J55" t="s">
        <v>1075</v>
      </c>
      <c r="K55">
        <v>3</v>
      </c>
      <c r="L55" t="s">
        <v>1051</v>
      </c>
      <c r="M55">
        <v>3</v>
      </c>
    </row>
    <row r="56" spans="1:13" x14ac:dyDescent="0.25">
      <c r="A56" t="s">
        <v>261</v>
      </c>
      <c r="B56" t="s">
        <v>7</v>
      </c>
      <c r="C56">
        <v>84</v>
      </c>
      <c r="D56" t="s">
        <v>9</v>
      </c>
      <c r="E56" s="26">
        <v>45001</v>
      </c>
      <c r="F56">
        <v>72</v>
      </c>
      <c r="G56">
        <v>3.5</v>
      </c>
      <c r="H56">
        <v>2023</v>
      </c>
      <c r="I56" t="s">
        <v>1080</v>
      </c>
      <c r="J56" t="s">
        <v>1075</v>
      </c>
      <c r="K56">
        <v>4</v>
      </c>
      <c r="L56" t="s">
        <v>1051</v>
      </c>
      <c r="M56">
        <v>3</v>
      </c>
    </row>
    <row r="57" spans="1:13" x14ac:dyDescent="0.25">
      <c r="A57" t="s">
        <v>265</v>
      </c>
      <c r="B57" t="s">
        <v>19</v>
      </c>
      <c r="C57">
        <v>40</v>
      </c>
      <c r="D57" t="s">
        <v>9</v>
      </c>
      <c r="E57" s="26">
        <v>45003</v>
      </c>
      <c r="F57">
        <v>24</v>
      </c>
      <c r="G57">
        <v>4.3</v>
      </c>
      <c r="H57">
        <v>2023</v>
      </c>
      <c r="I57" t="s">
        <v>1081</v>
      </c>
      <c r="J57" t="s">
        <v>1077</v>
      </c>
      <c r="K57">
        <v>4</v>
      </c>
      <c r="L57" t="s">
        <v>1051</v>
      </c>
      <c r="M57">
        <v>3</v>
      </c>
    </row>
    <row r="58" spans="1:13" x14ac:dyDescent="0.25">
      <c r="A58" t="s">
        <v>268</v>
      </c>
      <c r="B58" t="s">
        <v>18</v>
      </c>
      <c r="C58">
        <v>58</v>
      </c>
      <c r="D58" t="s">
        <v>9</v>
      </c>
      <c r="E58" s="26">
        <v>45004</v>
      </c>
      <c r="F58">
        <v>43</v>
      </c>
      <c r="G58">
        <v>4.5</v>
      </c>
      <c r="H58">
        <v>2023</v>
      </c>
      <c r="I58" t="s">
        <v>1074</v>
      </c>
      <c r="J58" t="s">
        <v>1077</v>
      </c>
      <c r="K58">
        <v>5</v>
      </c>
      <c r="L58" t="s">
        <v>1051</v>
      </c>
      <c r="M58">
        <v>3</v>
      </c>
    </row>
    <row r="59" spans="1:13" x14ac:dyDescent="0.25">
      <c r="A59" t="s">
        <v>273</v>
      </c>
      <c r="B59" t="s">
        <v>12</v>
      </c>
      <c r="C59">
        <v>89</v>
      </c>
      <c r="D59" t="s">
        <v>9</v>
      </c>
      <c r="E59" s="26">
        <v>45005</v>
      </c>
      <c r="F59">
        <v>96</v>
      </c>
      <c r="G59">
        <v>3.3</v>
      </c>
      <c r="H59">
        <v>2023</v>
      </c>
      <c r="I59" t="s">
        <v>1082</v>
      </c>
      <c r="J59" t="s">
        <v>1075</v>
      </c>
      <c r="K59">
        <v>3</v>
      </c>
      <c r="L59" t="s">
        <v>1051</v>
      </c>
      <c r="M59">
        <v>3</v>
      </c>
    </row>
    <row r="60" spans="1:13" x14ac:dyDescent="0.25">
      <c r="A60" t="s">
        <v>275</v>
      </c>
      <c r="B60" t="s">
        <v>8</v>
      </c>
      <c r="C60">
        <v>48</v>
      </c>
      <c r="D60" t="s">
        <v>9</v>
      </c>
      <c r="E60" s="26">
        <v>45005</v>
      </c>
      <c r="F60">
        <v>200</v>
      </c>
      <c r="G60">
        <v>3.9</v>
      </c>
      <c r="H60">
        <v>2023</v>
      </c>
      <c r="I60" t="s">
        <v>1082</v>
      </c>
      <c r="J60" t="s">
        <v>1077</v>
      </c>
      <c r="K60">
        <v>4</v>
      </c>
      <c r="L60" t="s">
        <v>1051</v>
      </c>
      <c r="M60">
        <v>3</v>
      </c>
    </row>
    <row r="61" spans="1:13" x14ac:dyDescent="0.25">
      <c r="A61" t="s">
        <v>282</v>
      </c>
      <c r="B61" t="s">
        <v>15</v>
      </c>
      <c r="C61">
        <v>144</v>
      </c>
      <c r="D61" t="s">
        <v>9</v>
      </c>
      <c r="E61" s="26">
        <v>45006</v>
      </c>
      <c r="F61">
        <v>124</v>
      </c>
      <c r="G61">
        <v>4.4000000000000004</v>
      </c>
      <c r="H61">
        <v>2023</v>
      </c>
      <c r="I61" t="s">
        <v>1076</v>
      </c>
      <c r="J61" t="s">
        <v>1079</v>
      </c>
      <c r="K61">
        <v>4</v>
      </c>
      <c r="L61" t="s">
        <v>1051</v>
      </c>
      <c r="M61">
        <v>3</v>
      </c>
    </row>
    <row r="62" spans="1:13" x14ac:dyDescent="0.25">
      <c r="A62" t="s">
        <v>287</v>
      </c>
      <c r="B62" t="s">
        <v>22</v>
      </c>
      <c r="C62">
        <v>59</v>
      </c>
      <c r="D62" t="s">
        <v>9</v>
      </c>
      <c r="E62" s="26">
        <v>45007</v>
      </c>
      <c r="F62">
        <v>128</v>
      </c>
      <c r="G62">
        <v>4.5</v>
      </c>
      <c r="H62">
        <v>2023</v>
      </c>
      <c r="I62" t="s">
        <v>1078</v>
      </c>
      <c r="J62" t="s">
        <v>1077</v>
      </c>
      <c r="K62">
        <v>5</v>
      </c>
      <c r="L62" t="s">
        <v>1051</v>
      </c>
      <c r="M62">
        <v>3</v>
      </c>
    </row>
    <row r="63" spans="1:13" x14ac:dyDescent="0.25">
      <c r="A63" t="s">
        <v>290</v>
      </c>
      <c r="B63" t="s">
        <v>19</v>
      </c>
      <c r="C63">
        <v>154</v>
      </c>
      <c r="D63" t="s">
        <v>9</v>
      </c>
      <c r="E63" s="26">
        <v>45007</v>
      </c>
      <c r="F63">
        <v>172</v>
      </c>
      <c r="G63">
        <v>3.1</v>
      </c>
      <c r="H63">
        <v>2023</v>
      </c>
      <c r="I63" t="s">
        <v>1078</v>
      </c>
      <c r="J63" t="s">
        <v>1079</v>
      </c>
      <c r="K63">
        <v>3</v>
      </c>
      <c r="L63" t="s">
        <v>1051</v>
      </c>
      <c r="M63">
        <v>3</v>
      </c>
    </row>
    <row r="64" spans="1:13" x14ac:dyDescent="0.25">
      <c r="A64" t="s">
        <v>291</v>
      </c>
      <c r="B64" t="s">
        <v>18</v>
      </c>
      <c r="C64">
        <v>131</v>
      </c>
      <c r="D64" t="s">
        <v>9</v>
      </c>
      <c r="E64" s="26">
        <v>45007</v>
      </c>
      <c r="F64">
        <v>58</v>
      </c>
      <c r="G64">
        <v>4.9000000000000004</v>
      </c>
      <c r="H64">
        <v>2023</v>
      </c>
      <c r="I64" t="s">
        <v>1078</v>
      </c>
      <c r="J64" t="s">
        <v>1079</v>
      </c>
      <c r="K64">
        <v>5</v>
      </c>
      <c r="L64" t="s">
        <v>1051</v>
      </c>
      <c r="M64">
        <v>3</v>
      </c>
    </row>
    <row r="65" spans="1:13" x14ac:dyDescent="0.25">
      <c r="A65" t="s">
        <v>296</v>
      </c>
      <c r="B65" t="s">
        <v>5</v>
      </c>
      <c r="C65">
        <v>76</v>
      </c>
      <c r="D65" t="s">
        <v>9</v>
      </c>
      <c r="E65" s="26">
        <v>45010</v>
      </c>
      <c r="F65">
        <v>110</v>
      </c>
      <c r="G65">
        <v>4.4000000000000004</v>
      </c>
      <c r="H65">
        <v>2023</v>
      </c>
      <c r="I65" t="s">
        <v>1081</v>
      </c>
      <c r="J65" t="s">
        <v>1075</v>
      </c>
      <c r="K65">
        <v>4</v>
      </c>
      <c r="L65" t="s">
        <v>1051</v>
      </c>
      <c r="M65">
        <v>3</v>
      </c>
    </row>
    <row r="66" spans="1:13" x14ac:dyDescent="0.25">
      <c r="A66" t="s">
        <v>300</v>
      </c>
      <c r="B66" t="s">
        <v>12</v>
      </c>
      <c r="C66">
        <v>113</v>
      </c>
      <c r="D66" t="s">
        <v>9</v>
      </c>
      <c r="E66" s="26">
        <v>45010</v>
      </c>
      <c r="F66">
        <v>81</v>
      </c>
      <c r="G66">
        <v>3.5</v>
      </c>
      <c r="H66">
        <v>2023</v>
      </c>
      <c r="I66" t="s">
        <v>1081</v>
      </c>
      <c r="J66" t="s">
        <v>1075</v>
      </c>
      <c r="K66">
        <v>4</v>
      </c>
      <c r="L66" t="s">
        <v>1051</v>
      </c>
      <c r="M66">
        <v>3</v>
      </c>
    </row>
    <row r="67" spans="1:13" x14ac:dyDescent="0.25">
      <c r="A67" t="s">
        <v>305</v>
      </c>
      <c r="B67" t="s">
        <v>19</v>
      </c>
      <c r="C67">
        <v>75</v>
      </c>
      <c r="D67" t="s">
        <v>9</v>
      </c>
      <c r="E67" s="26">
        <v>45011</v>
      </c>
      <c r="F67">
        <v>135</v>
      </c>
      <c r="G67">
        <v>4.7</v>
      </c>
      <c r="H67">
        <v>2023</v>
      </c>
      <c r="I67" t="s">
        <v>1074</v>
      </c>
      <c r="J67" t="s">
        <v>1075</v>
      </c>
      <c r="K67">
        <v>5</v>
      </c>
      <c r="L67" t="s">
        <v>1051</v>
      </c>
      <c r="M67">
        <v>3</v>
      </c>
    </row>
    <row r="68" spans="1:13" x14ac:dyDescent="0.25">
      <c r="A68" t="s">
        <v>309</v>
      </c>
      <c r="B68" t="s">
        <v>16</v>
      </c>
      <c r="C68">
        <v>126</v>
      </c>
      <c r="D68" t="s">
        <v>9</v>
      </c>
      <c r="E68" s="26">
        <v>45012</v>
      </c>
      <c r="F68">
        <v>128</v>
      </c>
      <c r="G68">
        <v>4.2</v>
      </c>
      <c r="H68">
        <v>2023</v>
      </c>
      <c r="I68" t="s">
        <v>1082</v>
      </c>
      <c r="J68" t="s">
        <v>1079</v>
      </c>
      <c r="K68">
        <v>4</v>
      </c>
      <c r="L68" t="s">
        <v>1051</v>
      </c>
      <c r="M68">
        <v>3</v>
      </c>
    </row>
    <row r="69" spans="1:13" x14ac:dyDescent="0.25">
      <c r="A69" t="s">
        <v>313</v>
      </c>
      <c r="B69" t="s">
        <v>12</v>
      </c>
      <c r="C69">
        <v>127</v>
      </c>
      <c r="D69" t="s">
        <v>9</v>
      </c>
      <c r="E69" s="26">
        <v>45013</v>
      </c>
      <c r="F69">
        <v>99</v>
      </c>
      <c r="G69">
        <v>3.9</v>
      </c>
      <c r="H69">
        <v>2023</v>
      </c>
      <c r="I69" t="s">
        <v>1076</v>
      </c>
      <c r="J69" t="s">
        <v>1079</v>
      </c>
      <c r="K69">
        <v>4</v>
      </c>
      <c r="L69" t="s">
        <v>1051</v>
      </c>
      <c r="M69">
        <v>3</v>
      </c>
    </row>
    <row r="70" spans="1:13" x14ac:dyDescent="0.25">
      <c r="A70" t="s">
        <v>314</v>
      </c>
      <c r="B70" t="s">
        <v>15</v>
      </c>
      <c r="C70">
        <v>78</v>
      </c>
      <c r="D70" t="s">
        <v>9</v>
      </c>
      <c r="E70" s="26">
        <v>45013</v>
      </c>
      <c r="F70">
        <v>43</v>
      </c>
      <c r="G70">
        <v>3.8</v>
      </c>
      <c r="H70">
        <v>2023</v>
      </c>
      <c r="I70" t="s">
        <v>1076</v>
      </c>
      <c r="J70" t="s">
        <v>1075</v>
      </c>
      <c r="K70">
        <v>4</v>
      </c>
      <c r="L70" t="s">
        <v>1051</v>
      </c>
      <c r="M70">
        <v>3</v>
      </c>
    </row>
    <row r="71" spans="1:13" x14ac:dyDescent="0.25">
      <c r="A71" t="s">
        <v>315</v>
      </c>
      <c r="B71" t="s">
        <v>14</v>
      </c>
      <c r="C71">
        <v>40</v>
      </c>
      <c r="D71" t="s">
        <v>9</v>
      </c>
      <c r="E71" s="26">
        <v>45013</v>
      </c>
      <c r="F71">
        <v>34</v>
      </c>
      <c r="G71">
        <v>4.5999999999999996</v>
      </c>
      <c r="H71">
        <v>2023</v>
      </c>
      <c r="I71" t="s">
        <v>1076</v>
      </c>
      <c r="J71" t="s">
        <v>1077</v>
      </c>
      <c r="K71">
        <v>5</v>
      </c>
      <c r="L71" t="s">
        <v>1051</v>
      </c>
      <c r="M71">
        <v>3</v>
      </c>
    </row>
    <row r="72" spans="1:13" x14ac:dyDescent="0.25">
      <c r="A72" t="s">
        <v>318</v>
      </c>
      <c r="B72" t="s">
        <v>16</v>
      </c>
      <c r="C72">
        <v>30</v>
      </c>
      <c r="D72" t="s">
        <v>9</v>
      </c>
      <c r="E72" s="26">
        <v>45013</v>
      </c>
      <c r="F72">
        <v>168</v>
      </c>
      <c r="G72">
        <v>4.2</v>
      </c>
      <c r="H72">
        <v>2023</v>
      </c>
      <c r="I72" t="s">
        <v>1076</v>
      </c>
      <c r="J72" t="s">
        <v>1084</v>
      </c>
      <c r="K72">
        <v>4</v>
      </c>
      <c r="L72" t="s">
        <v>1051</v>
      </c>
      <c r="M72">
        <v>3</v>
      </c>
    </row>
    <row r="73" spans="1:13" x14ac:dyDescent="0.25">
      <c r="A73" t="s">
        <v>326</v>
      </c>
      <c r="B73" t="s">
        <v>20</v>
      </c>
      <c r="C73">
        <v>60</v>
      </c>
      <c r="D73" t="s">
        <v>9</v>
      </c>
      <c r="E73" s="26">
        <v>45017</v>
      </c>
      <c r="F73">
        <v>215</v>
      </c>
      <c r="G73">
        <v>3.2</v>
      </c>
      <c r="H73">
        <v>2023</v>
      </c>
      <c r="I73" t="s">
        <v>1081</v>
      </c>
      <c r="J73" t="s">
        <v>1077</v>
      </c>
      <c r="K73">
        <v>3</v>
      </c>
      <c r="L73" t="s">
        <v>1052</v>
      </c>
      <c r="M73">
        <v>4</v>
      </c>
    </row>
    <row r="74" spans="1:13" x14ac:dyDescent="0.25">
      <c r="A74" t="s">
        <v>328</v>
      </c>
      <c r="B74" t="s">
        <v>18</v>
      </c>
      <c r="C74">
        <v>99</v>
      </c>
      <c r="D74" t="s">
        <v>9</v>
      </c>
      <c r="E74" s="26">
        <v>45017</v>
      </c>
      <c r="F74">
        <v>74</v>
      </c>
      <c r="G74">
        <v>4</v>
      </c>
      <c r="H74">
        <v>2023</v>
      </c>
      <c r="I74" t="s">
        <v>1081</v>
      </c>
      <c r="J74" t="s">
        <v>1075</v>
      </c>
      <c r="K74">
        <v>4</v>
      </c>
      <c r="L74" t="s">
        <v>1052</v>
      </c>
      <c r="M74">
        <v>4</v>
      </c>
    </row>
    <row r="75" spans="1:13" x14ac:dyDescent="0.25">
      <c r="A75" t="s">
        <v>330</v>
      </c>
      <c r="B75" t="s">
        <v>14</v>
      </c>
      <c r="C75">
        <v>65</v>
      </c>
      <c r="D75" t="s">
        <v>9</v>
      </c>
      <c r="E75" s="26">
        <v>45017</v>
      </c>
      <c r="F75">
        <v>64</v>
      </c>
      <c r="G75">
        <v>3.7</v>
      </c>
      <c r="H75">
        <v>2023</v>
      </c>
      <c r="I75" t="s">
        <v>1081</v>
      </c>
      <c r="J75" t="s">
        <v>1075</v>
      </c>
      <c r="K75">
        <v>4</v>
      </c>
      <c r="L75" t="s">
        <v>1052</v>
      </c>
      <c r="M75">
        <v>4</v>
      </c>
    </row>
    <row r="76" spans="1:13" x14ac:dyDescent="0.25">
      <c r="A76" t="s">
        <v>336</v>
      </c>
      <c r="B76" t="s">
        <v>18</v>
      </c>
      <c r="C76">
        <v>111</v>
      </c>
      <c r="D76" t="s">
        <v>9</v>
      </c>
      <c r="E76" s="26">
        <v>45020</v>
      </c>
      <c r="F76">
        <v>175</v>
      </c>
      <c r="G76">
        <v>3.5</v>
      </c>
      <c r="H76">
        <v>2023</v>
      </c>
      <c r="I76" t="s">
        <v>1076</v>
      </c>
      <c r="J76" t="s">
        <v>1075</v>
      </c>
      <c r="K76">
        <v>4</v>
      </c>
      <c r="L76" t="s">
        <v>1052</v>
      </c>
      <c r="M76">
        <v>4</v>
      </c>
    </row>
    <row r="77" spans="1:13" x14ac:dyDescent="0.25">
      <c r="A77" t="s">
        <v>337</v>
      </c>
      <c r="B77" t="s">
        <v>16</v>
      </c>
      <c r="C77">
        <v>106</v>
      </c>
      <c r="D77" t="s">
        <v>9</v>
      </c>
      <c r="E77" s="26">
        <v>45020</v>
      </c>
      <c r="F77">
        <v>145</v>
      </c>
      <c r="G77">
        <v>4.0999999999999996</v>
      </c>
      <c r="H77">
        <v>2023</v>
      </c>
      <c r="I77" t="s">
        <v>1076</v>
      </c>
      <c r="J77" t="s">
        <v>1075</v>
      </c>
      <c r="K77">
        <v>4</v>
      </c>
      <c r="L77" t="s">
        <v>1052</v>
      </c>
      <c r="M77">
        <v>4</v>
      </c>
    </row>
    <row r="78" spans="1:13" x14ac:dyDescent="0.25">
      <c r="A78" t="s">
        <v>339</v>
      </c>
      <c r="B78" t="s">
        <v>15</v>
      </c>
      <c r="C78">
        <v>38</v>
      </c>
      <c r="D78" t="s">
        <v>9</v>
      </c>
      <c r="E78" s="26">
        <v>45021</v>
      </c>
      <c r="F78">
        <v>81</v>
      </c>
      <c r="G78">
        <v>3.6</v>
      </c>
      <c r="H78">
        <v>2023</v>
      </c>
      <c r="I78" t="s">
        <v>1078</v>
      </c>
      <c r="J78" t="s">
        <v>1077</v>
      </c>
      <c r="K78">
        <v>4</v>
      </c>
      <c r="L78" t="s">
        <v>1052</v>
      </c>
      <c r="M78">
        <v>4</v>
      </c>
    </row>
    <row r="79" spans="1:13" x14ac:dyDescent="0.25">
      <c r="A79" t="s">
        <v>342</v>
      </c>
      <c r="B79" t="s">
        <v>19</v>
      </c>
      <c r="C79">
        <v>124</v>
      </c>
      <c r="D79" t="s">
        <v>9</v>
      </c>
      <c r="E79" s="26">
        <v>45022</v>
      </c>
      <c r="F79">
        <v>176</v>
      </c>
      <c r="G79">
        <v>3.9</v>
      </c>
      <c r="H79">
        <v>2023</v>
      </c>
      <c r="I79" t="s">
        <v>1080</v>
      </c>
      <c r="J79" t="s">
        <v>1079</v>
      </c>
      <c r="K79">
        <v>4</v>
      </c>
      <c r="L79" t="s">
        <v>1052</v>
      </c>
      <c r="M79">
        <v>4</v>
      </c>
    </row>
    <row r="80" spans="1:13" x14ac:dyDescent="0.25">
      <c r="A80" t="s">
        <v>343</v>
      </c>
      <c r="B80" t="s">
        <v>23</v>
      </c>
      <c r="C80">
        <v>107</v>
      </c>
      <c r="D80" t="s">
        <v>9</v>
      </c>
      <c r="E80" s="26">
        <v>45022</v>
      </c>
      <c r="F80">
        <v>115</v>
      </c>
      <c r="G80">
        <v>3.8</v>
      </c>
      <c r="H80">
        <v>2023</v>
      </c>
      <c r="I80" t="s">
        <v>1080</v>
      </c>
      <c r="J80" t="s">
        <v>1075</v>
      </c>
      <c r="K80">
        <v>4</v>
      </c>
      <c r="L80" t="s">
        <v>1052</v>
      </c>
      <c r="M80">
        <v>4</v>
      </c>
    </row>
    <row r="81" spans="1:13" x14ac:dyDescent="0.25">
      <c r="A81" t="s">
        <v>349</v>
      </c>
      <c r="B81" t="s">
        <v>15</v>
      </c>
      <c r="C81">
        <v>36</v>
      </c>
      <c r="D81" t="s">
        <v>9</v>
      </c>
      <c r="E81" s="26">
        <v>45023</v>
      </c>
      <c r="F81">
        <v>135</v>
      </c>
      <c r="G81">
        <v>4.5999999999999996</v>
      </c>
      <c r="H81">
        <v>2023</v>
      </c>
      <c r="I81" t="s">
        <v>1083</v>
      </c>
      <c r="J81" t="s">
        <v>1077</v>
      </c>
      <c r="K81">
        <v>5</v>
      </c>
      <c r="L81" t="s">
        <v>1052</v>
      </c>
      <c r="M81">
        <v>4</v>
      </c>
    </row>
    <row r="82" spans="1:13" x14ac:dyDescent="0.25">
      <c r="A82" t="s">
        <v>350</v>
      </c>
      <c r="B82" t="s">
        <v>19</v>
      </c>
      <c r="C82">
        <v>74</v>
      </c>
      <c r="D82" t="s">
        <v>9</v>
      </c>
      <c r="E82" s="26">
        <v>45023</v>
      </c>
      <c r="F82">
        <v>30</v>
      </c>
      <c r="G82">
        <v>4</v>
      </c>
      <c r="H82">
        <v>2023</v>
      </c>
      <c r="I82" t="s">
        <v>1083</v>
      </c>
      <c r="J82" t="s">
        <v>1075</v>
      </c>
      <c r="K82">
        <v>4</v>
      </c>
      <c r="L82" t="s">
        <v>1052</v>
      </c>
      <c r="M82">
        <v>4</v>
      </c>
    </row>
    <row r="83" spans="1:13" x14ac:dyDescent="0.25">
      <c r="A83" t="s">
        <v>351</v>
      </c>
      <c r="B83" t="s">
        <v>12</v>
      </c>
      <c r="C83">
        <v>75</v>
      </c>
      <c r="D83" t="s">
        <v>9</v>
      </c>
      <c r="E83" s="26">
        <v>45023</v>
      </c>
      <c r="F83">
        <v>84</v>
      </c>
      <c r="G83">
        <v>2.8</v>
      </c>
      <c r="H83">
        <v>2023</v>
      </c>
      <c r="I83" t="s">
        <v>1083</v>
      </c>
      <c r="J83" t="s">
        <v>1075</v>
      </c>
      <c r="K83">
        <v>3</v>
      </c>
      <c r="L83" t="s">
        <v>1052</v>
      </c>
      <c r="M83">
        <v>4</v>
      </c>
    </row>
    <row r="84" spans="1:13" x14ac:dyDescent="0.25">
      <c r="A84" t="s">
        <v>359</v>
      </c>
      <c r="B84" t="s">
        <v>23</v>
      </c>
      <c r="C84">
        <v>74</v>
      </c>
      <c r="D84" t="s">
        <v>9</v>
      </c>
      <c r="E84" s="26">
        <v>45024</v>
      </c>
      <c r="F84">
        <v>32</v>
      </c>
      <c r="G84">
        <v>4.8</v>
      </c>
      <c r="H84">
        <v>2023</v>
      </c>
      <c r="I84" t="s">
        <v>1081</v>
      </c>
      <c r="J84" t="s">
        <v>1075</v>
      </c>
      <c r="K84">
        <v>5</v>
      </c>
      <c r="L84" t="s">
        <v>1052</v>
      </c>
      <c r="M84">
        <v>4</v>
      </c>
    </row>
    <row r="85" spans="1:13" x14ac:dyDescent="0.25">
      <c r="A85" t="s">
        <v>361</v>
      </c>
      <c r="B85" t="s">
        <v>23</v>
      </c>
      <c r="C85">
        <v>79</v>
      </c>
      <c r="D85" t="s">
        <v>9</v>
      </c>
      <c r="E85" s="26">
        <v>45025</v>
      </c>
      <c r="F85">
        <v>120</v>
      </c>
      <c r="G85">
        <v>4.9000000000000004</v>
      </c>
      <c r="H85">
        <v>2023</v>
      </c>
      <c r="I85" t="s">
        <v>1074</v>
      </c>
      <c r="J85" t="s">
        <v>1075</v>
      </c>
      <c r="K85">
        <v>5</v>
      </c>
      <c r="L85" t="s">
        <v>1052</v>
      </c>
      <c r="M85">
        <v>4</v>
      </c>
    </row>
    <row r="86" spans="1:13" x14ac:dyDescent="0.25">
      <c r="A86" t="s">
        <v>362</v>
      </c>
      <c r="B86" t="s">
        <v>19</v>
      </c>
      <c r="C86">
        <v>23</v>
      </c>
      <c r="D86" t="s">
        <v>9</v>
      </c>
      <c r="E86" s="26">
        <v>45025</v>
      </c>
      <c r="F86">
        <v>86</v>
      </c>
      <c r="G86">
        <v>2.2000000000000002</v>
      </c>
      <c r="H86">
        <v>2023</v>
      </c>
      <c r="I86" t="s">
        <v>1074</v>
      </c>
      <c r="J86" t="s">
        <v>1084</v>
      </c>
      <c r="K86">
        <v>2</v>
      </c>
      <c r="L86" t="s">
        <v>1052</v>
      </c>
      <c r="M86">
        <v>4</v>
      </c>
    </row>
    <row r="87" spans="1:13" x14ac:dyDescent="0.25">
      <c r="A87" t="s">
        <v>363</v>
      </c>
      <c r="B87" t="s">
        <v>12</v>
      </c>
      <c r="C87">
        <v>69</v>
      </c>
      <c r="D87" t="s">
        <v>9</v>
      </c>
      <c r="E87" s="26">
        <v>45025</v>
      </c>
      <c r="F87">
        <v>132</v>
      </c>
      <c r="G87">
        <v>5</v>
      </c>
      <c r="H87">
        <v>2023</v>
      </c>
      <c r="I87" t="s">
        <v>1074</v>
      </c>
      <c r="J87" t="s">
        <v>1075</v>
      </c>
      <c r="K87">
        <v>5</v>
      </c>
      <c r="L87" t="s">
        <v>1052</v>
      </c>
      <c r="M87">
        <v>4</v>
      </c>
    </row>
    <row r="88" spans="1:13" x14ac:dyDescent="0.25">
      <c r="A88" t="s">
        <v>364</v>
      </c>
      <c r="B88" t="s">
        <v>7</v>
      </c>
      <c r="C88">
        <v>64</v>
      </c>
      <c r="D88" t="s">
        <v>9</v>
      </c>
      <c r="E88" s="26">
        <v>45025</v>
      </c>
      <c r="F88">
        <v>80</v>
      </c>
      <c r="G88">
        <v>3.3</v>
      </c>
      <c r="H88">
        <v>2023</v>
      </c>
      <c r="I88" t="s">
        <v>1074</v>
      </c>
      <c r="J88" t="s">
        <v>1075</v>
      </c>
      <c r="K88">
        <v>3</v>
      </c>
      <c r="L88" t="s">
        <v>1052</v>
      </c>
      <c r="M88">
        <v>4</v>
      </c>
    </row>
    <row r="89" spans="1:13" x14ac:dyDescent="0.25">
      <c r="A89" t="s">
        <v>368</v>
      </c>
      <c r="B89" t="s">
        <v>24</v>
      </c>
      <c r="C89">
        <v>116</v>
      </c>
      <c r="D89" t="s">
        <v>9</v>
      </c>
      <c r="E89" s="26">
        <v>45026</v>
      </c>
      <c r="F89">
        <v>22</v>
      </c>
      <c r="G89">
        <v>4.7</v>
      </c>
      <c r="H89">
        <v>2023</v>
      </c>
      <c r="I89" t="s">
        <v>1082</v>
      </c>
      <c r="J89" t="s">
        <v>1075</v>
      </c>
      <c r="K89">
        <v>5</v>
      </c>
      <c r="L89" t="s">
        <v>1052</v>
      </c>
      <c r="M89">
        <v>4</v>
      </c>
    </row>
    <row r="90" spans="1:13" x14ac:dyDescent="0.25">
      <c r="A90" t="s">
        <v>375</v>
      </c>
      <c r="B90" t="s">
        <v>21</v>
      </c>
      <c r="C90">
        <v>73</v>
      </c>
      <c r="D90" t="s">
        <v>9</v>
      </c>
      <c r="E90" s="26">
        <v>45029</v>
      </c>
      <c r="F90">
        <v>45</v>
      </c>
      <c r="G90">
        <v>3.6</v>
      </c>
      <c r="H90">
        <v>2023</v>
      </c>
      <c r="I90" t="s">
        <v>1080</v>
      </c>
      <c r="J90" t="s">
        <v>1075</v>
      </c>
      <c r="K90">
        <v>4</v>
      </c>
      <c r="L90" t="s">
        <v>1052</v>
      </c>
      <c r="M90">
        <v>4</v>
      </c>
    </row>
    <row r="91" spans="1:13" x14ac:dyDescent="0.25">
      <c r="A91" t="s">
        <v>376</v>
      </c>
      <c r="B91" t="s">
        <v>19</v>
      </c>
      <c r="C91">
        <v>50</v>
      </c>
      <c r="D91" t="s">
        <v>9</v>
      </c>
      <c r="E91" s="26">
        <v>45029</v>
      </c>
      <c r="F91">
        <v>105</v>
      </c>
      <c r="G91">
        <v>3.5</v>
      </c>
      <c r="H91">
        <v>2023</v>
      </c>
      <c r="I91" t="s">
        <v>1080</v>
      </c>
      <c r="J91" t="s">
        <v>1077</v>
      </c>
      <c r="K91">
        <v>4</v>
      </c>
      <c r="L91" t="s">
        <v>1052</v>
      </c>
      <c r="M91">
        <v>4</v>
      </c>
    </row>
    <row r="92" spans="1:13" x14ac:dyDescent="0.25">
      <c r="A92" t="s">
        <v>377</v>
      </c>
      <c r="B92" t="s">
        <v>8</v>
      </c>
      <c r="C92">
        <v>98</v>
      </c>
      <c r="D92" t="s">
        <v>9</v>
      </c>
      <c r="E92" s="26">
        <v>45029</v>
      </c>
      <c r="F92">
        <v>22</v>
      </c>
      <c r="G92">
        <v>3.8</v>
      </c>
      <c r="H92">
        <v>2023</v>
      </c>
      <c r="I92" t="s">
        <v>1080</v>
      </c>
      <c r="J92" t="s">
        <v>1075</v>
      </c>
      <c r="K92">
        <v>4</v>
      </c>
      <c r="L92" t="s">
        <v>1052</v>
      </c>
      <c r="M92">
        <v>4</v>
      </c>
    </row>
    <row r="93" spans="1:13" x14ac:dyDescent="0.25">
      <c r="A93" t="s">
        <v>380</v>
      </c>
      <c r="B93" t="s">
        <v>23</v>
      </c>
      <c r="C93">
        <v>91</v>
      </c>
      <c r="D93" t="s">
        <v>9</v>
      </c>
      <c r="E93" s="26">
        <v>45030</v>
      </c>
      <c r="F93">
        <v>84</v>
      </c>
      <c r="G93">
        <v>4.5</v>
      </c>
      <c r="H93">
        <v>2023</v>
      </c>
      <c r="I93" t="s">
        <v>1083</v>
      </c>
      <c r="J93" t="s">
        <v>1075</v>
      </c>
      <c r="K93">
        <v>5</v>
      </c>
      <c r="L93" t="s">
        <v>1052</v>
      </c>
      <c r="M93">
        <v>4</v>
      </c>
    </row>
    <row r="94" spans="1:13" x14ac:dyDescent="0.25">
      <c r="A94" t="s">
        <v>381</v>
      </c>
      <c r="B94" t="s">
        <v>5</v>
      </c>
      <c r="C94">
        <v>67</v>
      </c>
      <c r="D94" t="s">
        <v>9</v>
      </c>
      <c r="E94" s="26">
        <v>45031</v>
      </c>
      <c r="F94">
        <v>172</v>
      </c>
      <c r="G94">
        <v>4.5</v>
      </c>
      <c r="H94">
        <v>2023</v>
      </c>
      <c r="I94" t="s">
        <v>1081</v>
      </c>
      <c r="J94" t="s">
        <v>1075</v>
      </c>
      <c r="K94">
        <v>5</v>
      </c>
      <c r="L94" t="s">
        <v>1052</v>
      </c>
      <c r="M94">
        <v>4</v>
      </c>
    </row>
    <row r="95" spans="1:13" x14ac:dyDescent="0.25">
      <c r="A95" t="s">
        <v>385</v>
      </c>
      <c r="B95" t="s">
        <v>15</v>
      </c>
      <c r="C95">
        <v>66</v>
      </c>
      <c r="D95" t="s">
        <v>9</v>
      </c>
      <c r="E95" s="26">
        <v>45031</v>
      </c>
      <c r="F95">
        <v>210</v>
      </c>
      <c r="G95">
        <v>4.3</v>
      </c>
      <c r="H95">
        <v>2023</v>
      </c>
      <c r="I95" t="s">
        <v>1081</v>
      </c>
      <c r="J95" t="s">
        <v>1075</v>
      </c>
      <c r="K95">
        <v>4</v>
      </c>
      <c r="L95" t="s">
        <v>1052</v>
      </c>
      <c r="M95">
        <v>4</v>
      </c>
    </row>
    <row r="96" spans="1:13" x14ac:dyDescent="0.25">
      <c r="A96" t="s">
        <v>395</v>
      </c>
      <c r="B96" t="s">
        <v>20</v>
      </c>
      <c r="C96">
        <v>135</v>
      </c>
      <c r="D96" t="s">
        <v>9</v>
      </c>
      <c r="E96" s="26">
        <v>45032</v>
      </c>
      <c r="F96">
        <v>185</v>
      </c>
      <c r="G96">
        <v>4.5</v>
      </c>
      <c r="H96">
        <v>2023</v>
      </c>
      <c r="I96" t="s">
        <v>1074</v>
      </c>
      <c r="J96" t="s">
        <v>1079</v>
      </c>
      <c r="K96">
        <v>5</v>
      </c>
      <c r="L96" t="s">
        <v>1052</v>
      </c>
      <c r="M96">
        <v>4</v>
      </c>
    </row>
    <row r="97" spans="1:13" x14ac:dyDescent="0.25">
      <c r="A97" t="s">
        <v>400</v>
      </c>
      <c r="B97" t="s">
        <v>5</v>
      </c>
      <c r="C97">
        <v>165</v>
      </c>
      <c r="D97" t="s">
        <v>9</v>
      </c>
      <c r="E97" s="26">
        <v>45033</v>
      </c>
      <c r="F97">
        <v>68</v>
      </c>
      <c r="G97">
        <v>4.3</v>
      </c>
      <c r="H97">
        <v>2023</v>
      </c>
      <c r="I97" t="s">
        <v>1082</v>
      </c>
      <c r="J97" t="s">
        <v>1079</v>
      </c>
      <c r="K97">
        <v>4</v>
      </c>
      <c r="L97" t="s">
        <v>1052</v>
      </c>
      <c r="M97">
        <v>4</v>
      </c>
    </row>
    <row r="98" spans="1:13" x14ac:dyDescent="0.25">
      <c r="A98" t="s">
        <v>401</v>
      </c>
      <c r="B98" t="s">
        <v>19</v>
      </c>
      <c r="C98">
        <v>125</v>
      </c>
      <c r="D98" t="s">
        <v>9</v>
      </c>
      <c r="E98" s="26">
        <v>45033</v>
      </c>
      <c r="F98">
        <v>148</v>
      </c>
      <c r="G98">
        <v>4.5</v>
      </c>
      <c r="H98">
        <v>2023</v>
      </c>
      <c r="I98" t="s">
        <v>1082</v>
      </c>
      <c r="J98" t="s">
        <v>1079</v>
      </c>
      <c r="K98">
        <v>5</v>
      </c>
      <c r="L98" t="s">
        <v>1052</v>
      </c>
      <c r="M98">
        <v>4</v>
      </c>
    </row>
    <row r="99" spans="1:13" x14ac:dyDescent="0.25">
      <c r="A99" t="s">
        <v>406</v>
      </c>
      <c r="B99" t="s">
        <v>12</v>
      </c>
      <c r="C99">
        <v>90</v>
      </c>
      <c r="D99" t="s">
        <v>9</v>
      </c>
      <c r="E99" s="26">
        <v>45035</v>
      </c>
      <c r="F99">
        <v>99</v>
      </c>
      <c r="G99">
        <v>4.9000000000000004</v>
      </c>
      <c r="H99">
        <v>2023</v>
      </c>
      <c r="I99" t="s">
        <v>1078</v>
      </c>
      <c r="J99" t="s">
        <v>1075</v>
      </c>
      <c r="K99">
        <v>5</v>
      </c>
      <c r="L99" t="s">
        <v>1052</v>
      </c>
      <c r="M99">
        <v>4</v>
      </c>
    </row>
    <row r="100" spans="1:13" x14ac:dyDescent="0.25">
      <c r="A100" t="s">
        <v>410</v>
      </c>
      <c r="B100" t="s">
        <v>7</v>
      </c>
      <c r="C100">
        <v>64</v>
      </c>
      <c r="D100" t="s">
        <v>9</v>
      </c>
      <c r="E100" s="26">
        <v>45035</v>
      </c>
      <c r="F100">
        <v>170</v>
      </c>
      <c r="G100">
        <v>2.2999999999999998</v>
      </c>
      <c r="H100">
        <v>2023</v>
      </c>
      <c r="I100" t="s">
        <v>1078</v>
      </c>
      <c r="J100" t="s">
        <v>1075</v>
      </c>
      <c r="K100">
        <v>2</v>
      </c>
      <c r="L100" t="s">
        <v>1052</v>
      </c>
      <c r="M100">
        <v>4</v>
      </c>
    </row>
    <row r="101" spans="1:13" x14ac:dyDescent="0.25">
      <c r="A101" t="s">
        <v>415</v>
      </c>
      <c r="B101" t="s">
        <v>5</v>
      </c>
      <c r="C101">
        <v>99</v>
      </c>
      <c r="D101" t="s">
        <v>9</v>
      </c>
      <c r="E101" s="26">
        <v>45037</v>
      </c>
      <c r="F101">
        <v>48</v>
      </c>
      <c r="G101">
        <v>5</v>
      </c>
      <c r="H101">
        <v>2023</v>
      </c>
      <c r="I101" t="s">
        <v>1083</v>
      </c>
      <c r="J101" t="s">
        <v>1075</v>
      </c>
      <c r="K101">
        <v>5</v>
      </c>
      <c r="L101" t="s">
        <v>1052</v>
      </c>
      <c r="M101">
        <v>4</v>
      </c>
    </row>
    <row r="102" spans="1:13" x14ac:dyDescent="0.25">
      <c r="A102" t="s">
        <v>422</v>
      </c>
      <c r="B102" t="s">
        <v>21</v>
      </c>
      <c r="C102">
        <v>95</v>
      </c>
      <c r="D102" t="s">
        <v>9</v>
      </c>
      <c r="E102" s="26">
        <v>45038</v>
      </c>
      <c r="F102">
        <v>21</v>
      </c>
      <c r="G102">
        <v>3.9</v>
      </c>
      <c r="H102">
        <v>2023</v>
      </c>
      <c r="I102" t="s">
        <v>1081</v>
      </c>
      <c r="J102" t="s">
        <v>1075</v>
      </c>
      <c r="K102">
        <v>4</v>
      </c>
      <c r="L102" t="s">
        <v>1052</v>
      </c>
      <c r="M102">
        <v>4</v>
      </c>
    </row>
    <row r="103" spans="1:13" x14ac:dyDescent="0.25">
      <c r="A103" t="s">
        <v>432</v>
      </c>
      <c r="B103" t="s">
        <v>12</v>
      </c>
      <c r="C103">
        <v>139</v>
      </c>
      <c r="D103" t="s">
        <v>9</v>
      </c>
      <c r="E103" s="26">
        <v>45040</v>
      </c>
      <c r="F103">
        <v>81</v>
      </c>
      <c r="G103">
        <v>4.8</v>
      </c>
      <c r="H103">
        <v>2023</v>
      </c>
      <c r="I103" t="s">
        <v>1082</v>
      </c>
      <c r="J103" t="s">
        <v>1079</v>
      </c>
      <c r="K103">
        <v>5</v>
      </c>
      <c r="L103" t="s">
        <v>1052</v>
      </c>
      <c r="M103">
        <v>4</v>
      </c>
    </row>
    <row r="104" spans="1:13" x14ac:dyDescent="0.25">
      <c r="A104" t="s">
        <v>434</v>
      </c>
      <c r="B104" t="s">
        <v>23</v>
      </c>
      <c r="C104">
        <v>115</v>
      </c>
      <c r="D104" t="s">
        <v>9</v>
      </c>
      <c r="E104" s="26">
        <v>45040</v>
      </c>
      <c r="F104">
        <v>111</v>
      </c>
      <c r="G104">
        <v>4.3</v>
      </c>
      <c r="H104">
        <v>2023</v>
      </c>
      <c r="I104" t="s">
        <v>1082</v>
      </c>
      <c r="J104" t="s">
        <v>1075</v>
      </c>
      <c r="K104">
        <v>4</v>
      </c>
      <c r="L104" t="s">
        <v>1052</v>
      </c>
      <c r="M104">
        <v>4</v>
      </c>
    </row>
    <row r="105" spans="1:13" x14ac:dyDescent="0.25">
      <c r="A105" t="s">
        <v>441</v>
      </c>
      <c r="B105" t="s">
        <v>16</v>
      </c>
      <c r="C105">
        <v>124</v>
      </c>
      <c r="D105" t="s">
        <v>9</v>
      </c>
      <c r="E105" s="26">
        <v>45041</v>
      </c>
      <c r="F105">
        <v>132</v>
      </c>
      <c r="G105">
        <v>4.9000000000000004</v>
      </c>
      <c r="H105">
        <v>2023</v>
      </c>
      <c r="I105" t="s">
        <v>1076</v>
      </c>
      <c r="J105" t="s">
        <v>1079</v>
      </c>
      <c r="K105">
        <v>5</v>
      </c>
      <c r="L105" t="s">
        <v>1052</v>
      </c>
      <c r="M105">
        <v>4</v>
      </c>
    </row>
    <row r="106" spans="1:13" x14ac:dyDescent="0.25">
      <c r="A106" t="s">
        <v>442</v>
      </c>
      <c r="B106" t="s">
        <v>23</v>
      </c>
      <c r="C106">
        <v>108</v>
      </c>
      <c r="D106" t="s">
        <v>9</v>
      </c>
      <c r="E106" s="26">
        <v>45041</v>
      </c>
      <c r="F106">
        <v>180</v>
      </c>
      <c r="G106">
        <v>3.9</v>
      </c>
      <c r="H106">
        <v>2023</v>
      </c>
      <c r="I106" t="s">
        <v>1076</v>
      </c>
      <c r="J106" t="s">
        <v>1075</v>
      </c>
      <c r="K106">
        <v>4</v>
      </c>
      <c r="L106" t="s">
        <v>1052</v>
      </c>
      <c r="M106">
        <v>4</v>
      </c>
    </row>
    <row r="107" spans="1:13" x14ac:dyDescent="0.25">
      <c r="A107" t="s">
        <v>443</v>
      </c>
      <c r="B107" t="s">
        <v>8</v>
      </c>
      <c r="C107">
        <v>15</v>
      </c>
      <c r="D107" t="s">
        <v>9</v>
      </c>
      <c r="E107" s="26">
        <v>45041</v>
      </c>
      <c r="F107">
        <v>31</v>
      </c>
      <c r="G107">
        <v>4.0999999999999996</v>
      </c>
      <c r="H107">
        <v>2023</v>
      </c>
      <c r="I107" t="s">
        <v>1076</v>
      </c>
      <c r="J107" t="s">
        <v>1084</v>
      </c>
      <c r="K107">
        <v>4</v>
      </c>
      <c r="L107" t="s">
        <v>1052</v>
      </c>
      <c r="M107">
        <v>4</v>
      </c>
    </row>
    <row r="108" spans="1:13" x14ac:dyDescent="0.25">
      <c r="A108" t="s">
        <v>444</v>
      </c>
      <c r="B108" t="s">
        <v>23</v>
      </c>
      <c r="C108">
        <v>66</v>
      </c>
      <c r="D108" t="s">
        <v>9</v>
      </c>
      <c r="E108" s="26">
        <v>45041</v>
      </c>
      <c r="F108">
        <v>102</v>
      </c>
      <c r="G108">
        <v>3.8</v>
      </c>
      <c r="H108">
        <v>2023</v>
      </c>
      <c r="I108" t="s">
        <v>1076</v>
      </c>
      <c r="J108" t="s">
        <v>1075</v>
      </c>
      <c r="K108">
        <v>4</v>
      </c>
      <c r="L108" t="s">
        <v>1052</v>
      </c>
      <c r="M108">
        <v>4</v>
      </c>
    </row>
    <row r="109" spans="1:13" x14ac:dyDescent="0.25">
      <c r="A109" t="s">
        <v>449</v>
      </c>
      <c r="B109" t="s">
        <v>23</v>
      </c>
      <c r="C109">
        <v>109</v>
      </c>
      <c r="D109" t="s">
        <v>9</v>
      </c>
      <c r="E109" s="26">
        <v>45042</v>
      </c>
      <c r="F109">
        <v>126</v>
      </c>
      <c r="G109">
        <v>3.4</v>
      </c>
      <c r="H109">
        <v>2023</v>
      </c>
      <c r="I109" t="s">
        <v>1078</v>
      </c>
      <c r="J109" t="s">
        <v>1075</v>
      </c>
      <c r="K109">
        <v>3</v>
      </c>
      <c r="L109" t="s">
        <v>1052</v>
      </c>
      <c r="M109">
        <v>4</v>
      </c>
    </row>
    <row r="110" spans="1:13" x14ac:dyDescent="0.25">
      <c r="A110" t="s">
        <v>454</v>
      </c>
      <c r="B110" t="s">
        <v>7</v>
      </c>
      <c r="C110">
        <v>36</v>
      </c>
      <c r="D110" t="s">
        <v>9</v>
      </c>
      <c r="E110" s="26">
        <v>45044</v>
      </c>
      <c r="F110">
        <v>225</v>
      </c>
      <c r="G110">
        <v>4.8</v>
      </c>
      <c r="H110">
        <v>2023</v>
      </c>
      <c r="I110" t="s">
        <v>1083</v>
      </c>
      <c r="J110" t="s">
        <v>1077</v>
      </c>
      <c r="K110">
        <v>5</v>
      </c>
      <c r="L110" t="s">
        <v>1052</v>
      </c>
      <c r="M110">
        <v>4</v>
      </c>
    </row>
    <row r="111" spans="1:13" x14ac:dyDescent="0.25">
      <c r="A111" t="s">
        <v>456</v>
      </c>
      <c r="B111" t="s">
        <v>15</v>
      </c>
      <c r="C111">
        <v>81</v>
      </c>
      <c r="D111" t="s">
        <v>9</v>
      </c>
      <c r="E111" s="26">
        <v>45045</v>
      </c>
      <c r="F111">
        <v>78</v>
      </c>
      <c r="G111">
        <v>2.9</v>
      </c>
      <c r="H111">
        <v>2023</v>
      </c>
      <c r="I111" t="s">
        <v>1081</v>
      </c>
      <c r="J111" t="s">
        <v>1075</v>
      </c>
      <c r="K111">
        <v>3</v>
      </c>
      <c r="L111" t="s">
        <v>1052</v>
      </c>
      <c r="M111">
        <v>4</v>
      </c>
    </row>
    <row r="112" spans="1:13" x14ac:dyDescent="0.25">
      <c r="A112" t="s">
        <v>459</v>
      </c>
      <c r="B112" t="s">
        <v>23</v>
      </c>
      <c r="C112">
        <v>14</v>
      </c>
      <c r="D112" t="s">
        <v>9</v>
      </c>
      <c r="E112" s="26">
        <v>45045</v>
      </c>
      <c r="F112">
        <v>96</v>
      </c>
      <c r="G112">
        <v>4.8</v>
      </c>
      <c r="H112">
        <v>2023</v>
      </c>
      <c r="I112" t="s">
        <v>1081</v>
      </c>
      <c r="J112" t="s">
        <v>1084</v>
      </c>
      <c r="K112">
        <v>5</v>
      </c>
      <c r="L112" t="s">
        <v>1052</v>
      </c>
      <c r="M112">
        <v>4</v>
      </c>
    </row>
    <row r="113" spans="1:13" x14ac:dyDescent="0.25">
      <c r="A113" t="s">
        <v>462</v>
      </c>
      <c r="B113" t="s">
        <v>5</v>
      </c>
      <c r="C113">
        <v>60</v>
      </c>
      <c r="D113" t="s">
        <v>9</v>
      </c>
      <c r="E113" s="26">
        <v>45047</v>
      </c>
      <c r="F113">
        <v>41</v>
      </c>
      <c r="G113">
        <v>4.8</v>
      </c>
      <c r="H113">
        <v>2023</v>
      </c>
      <c r="I113" t="s">
        <v>1082</v>
      </c>
      <c r="J113" t="s">
        <v>1077</v>
      </c>
      <c r="K113">
        <v>5</v>
      </c>
      <c r="L113" t="s">
        <v>1053</v>
      </c>
      <c r="M113">
        <v>5</v>
      </c>
    </row>
    <row r="114" spans="1:13" x14ac:dyDescent="0.25">
      <c r="A114" t="s">
        <v>466</v>
      </c>
      <c r="B114" t="s">
        <v>19</v>
      </c>
      <c r="C114">
        <v>73</v>
      </c>
      <c r="D114" t="s">
        <v>9</v>
      </c>
      <c r="E114" s="26">
        <v>45047</v>
      </c>
      <c r="F114">
        <v>66</v>
      </c>
      <c r="G114">
        <v>4.8</v>
      </c>
      <c r="H114">
        <v>2023</v>
      </c>
      <c r="I114" t="s">
        <v>1082</v>
      </c>
      <c r="J114" t="s">
        <v>1075</v>
      </c>
      <c r="K114">
        <v>5</v>
      </c>
      <c r="L114" t="s">
        <v>1053</v>
      </c>
      <c r="M114">
        <v>5</v>
      </c>
    </row>
    <row r="115" spans="1:13" x14ac:dyDescent="0.25">
      <c r="A115" t="s">
        <v>471</v>
      </c>
      <c r="B115" t="s">
        <v>20</v>
      </c>
      <c r="C115">
        <v>96</v>
      </c>
      <c r="D115" t="s">
        <v>9</v>
      </c>
      <c r="E115" s="26">
        <v>45049</v>
      </c>
      <c r="F115">
        <v>46</v>
      </c>
      <c r="G115">
        <v>0.7</v>
      </c>
      <c r="H115">
        <v>2023</v>
      </c>
      <c r="I115" t="s">
        <v>1078</v>
      </c>
      <c r="J115" t="s">
        <v>1075</v>
      </c>
      <c r="K115">
        <v>1</v>
      </c>
      <c r="L115" t="s">
        <v>1053</v>
      </c>
      <c r="M115">
        <v>5</v>
      </c>
    </row>
    <row r="116" spans="1:13" x14ac:dyDescent="0.25">
      <c r="A116" t="s">
        <v>476</v>
      </c>
      <c r="B116" t="s">
        <v>22</v>
      </c>
      <c r="C116">
        <v>81</v>
      </c>
      <c r="D116" t="s">
        <v>9</v>
      </c>
      <c r="E116" s="26">
        <v>45050</v>
      </c>
      <c r="F116">
        <v>92</v>
      </c>
      <c r="G116">
        <v>4.9000000000000004</v>
      </c>
      <c r="H116">
        <v>2023</v>
      </c>
      <c r="I116" t="s">
        <v>1080</v>
      </c>
      <c r="J116" t="s">
        <v>1075</v>
      </c>
      <c r="K116">
        <v>5</v>
      </c>
      <c r="L116" t="s">
        <v>1053</v>
      </c>
      <c r="M116">
        <v>5</v>
      </c>
    </row>
    <row r="117" spans="1:13" x14ac:dyDescent="0.25">
      <c r="A117" t="s">
        <v>481</v>
      </c>
      <c r="B117" t="s">
        <v>20</v>
      </c>
      <c r="C117">
        <v>52</v>
      </c>
      <c r="D117" t="s">
        <v>9</v>
      </c>
      <c r="E117" s="26">
        <v>45054</v>
      </c>
      <c r="F117">
        <v>37</v>
      </c>
      <c r="G117">
        <v>4.9000000000000004</v>
      </c>
      <c r="H117">
        <v>2023</v>
      </c>
      <c r="I117" t="s">
        <v>1082</v>
      </c>
      <c r="J117" t="s">
        <v>1077</v>
      </c>
      <c r="K117">
        <v>5</v>
      </c>
      <c r="L117" t="s">
        <v>1053</v>
      </c>
      <c r="M117">
        <v>5</v>
      </c>
    </row>
    <row r="118" spans="1:13" x14ac:dyDescent="0.25">
      <c r="A118" t="s">
        <v>487</v>
      </c>
      <c r="B118" t="s">
        <v>7</v>
      </c>
      <c r="C118">
        <v>34</v>
      </c>
      <c r="D118" t="s">
        <v>9</v>
      </c>
      <c r="E118" s="26">
        <v>45055</v>
      </c>
      <c r="F118">
        <v>195</v>
      </c>
      <c r="G118">
        <v>4.8</v>
      </c>
      <c r="H118">
        <v>2023</v>
      </c>
      <c r="I118" t="s">
        <v>1076</v>
      </c>
      <c r="J118" t="s">
        <v>1077</v>
      </c>
      <c r="K118">
        <v>5</v>
      </c>
      <c r="L118" t="s">
        <v>1053</v>
      </c>
      <c r="M118">
        <v>5</v>
      </c>
    </row>
    <row r="119" spans="1:13" x14ac:dyDescent="0.25">
      <c r="A119" t="s">
        <v>493</v>
      </c>
      <c r="B119" t="s">
        <v>14</v>
      </c>
      <c r="C119">
        <v>81</v>
      </c>
      <c r="D119" t="s">
        <v>9</v>
      </c>
      <c r="E119" s="26">
        <v>45060</v>
      </c>
      <c r="F119">
        <v>100</v>
      </c>
      <c r="G119">
        <v>1.3</v>
      </c>
      <c r="H119">
        <v>2023</v>
      </c>
      <c r="I119" t="s">
        <v>1074</v>
      </c>
      <c r="J119" t="s">
        <v>1075</v>
      </c>
      <c r="K119">
        <v>1</v>
      </c>
      <c r="L119" t="s">
        <v>1053</v>
      </c>
      <c r="M119">
        <v>5</v>
      </c>
    </row>
    <row r="120" spans="1:13" x14ac:dyDescent="0.25">
      <c r="A120" t="s">
        <v>499</v>
      </c>
      <c r="B120" t="s">
        <v>7</v>
      </c>
      <c r="C120">
        <v>21</v>
      </c>
      <c r="D120" t="s">
        <v>9</v>
      </c>
      <c r="E120" s="26">
        <v>45062</v>
      </c>
      <c r="F120">
        <v>63</v>
      </c>
      <c r="G120">
        <v>4.2</v>
      </c>
      <c r="H120">
        <v>2023</v>
      </c>
      <c r="I120" t="s">
        <v>1076</v>
      </c>
      <c r="J120" t="s">
        <v>1084</v>
      </c>
      <c r="K120">
        <v>4</v>
      </c>
      <c r="L120" t="s">
        <v>1053</v>
      </c>
      <c r="M120">
        <v>5</v>
      </c>
    </row>
    <row r="121" spans="1:13" x14ac:dyDescent="0.25">
      <c r="A121" t="s">
        <v>502</v>
      </c>
      <c r="B121" t="s">
        <v>24</v>
      </c>
      <c r="C121">
        <v>50</v>
      </c>
      <c r="D121" t="s">
        <v>9</v>
      </c>
      <c r="E121" s="26">
        <v>45063</v>
      </c>
      <c r="F121">
        <v>26</v>
      </c>
      <c r="G121">
        <v>4.7</v>
      </c>
      <c r="H121">
        <v>2023</v>
      </c>
      <c r="I121" t="s">
        <v>1078</v>
      </c>
      <c r="J121" t="s">
        <v>1077</v>
      </c>
      <c r="K121">
        <v>5</v>
      </c>
      <c r="L121" t="s">
        <v>1053</v>
      </c>
      <c r="M121">
        <v>5</v>
      </c>
    </row>
    <row r="122" spans="1:13" x14ac:dyDescent="0.25">
      <c r="A122" t="s">
        <v>519</v>
      </c>
      <c r="B122" t="s">
        <v>17</v>
      </c>
      <c r="C122">
        <v>101</v>
      </c>
      <c r="D122" t="s">
        <v>9</v>
      </c>
      <c r="E122" s="26">
        <v>45070</v>
      </c>
      <c r="F122">
        <v>205</v>
      </c>
      <c r="G122">
        <v>3.9</v>
      </c>
      <c r="H122">
        <v>2023</v>
      </c>
      <c r="I122" t="s">
        <v>1078</v>
      </c>
      <c r="J122" t="s">
        <v>1075</v>
      </c>
      <c r="K122">
        <v>4</v>
      </c>
      <c r="L122" t="s">
        <v>1053</v>
      </c>
      <c r="M122">
        <v>5</v>
      </c>
    </row>
    <row r="123" spans="1:13" x14ac:dyDescent="0.25">
      <c r="A123" t="s">
        <v>529</v>
      </c>
      <c r="B123" t="s">
        <v>17</v>
      </c>
      <c r="C123">
        <v>110</v>
      </c>
      <c r="D123" t="s">
        <v>9</v>
      </c>
      <c r="E123" s="26">
        <v>45072</v>
      </c>
      <c r="F123">
        <v>155</v>
      </c>
      <c r="G123">
        <v>2.1</v>
      </c>
      <c r="H123">
        <v>2023</v>
      </c>
      <c r="I123" t="s">
        <v>1083</v>
      </c>
      <c r="J123" t="s">
        <v>1075</v>
      </c>
      <c r="K123">
        <v>2</v>
      </c>
      <c r="L123" t="s">
        <v>1053</v>
      </c>
      <c r="M123">
        <v>5</v>
      </c>
    </row>
    <row r="124" spans="1:13" x14ac:dyDescent="0.25">
      <c r="A124" t="s">
        <v>540</v>
      </c>
      <c r="B124" t="s">
        <v>19</v>
      </c>
      <c r="C124">
        <v>94</v>
      </c>
      <c r="D124" t="s">
        <v>9</v>
      </c>
      <c r="E124" s="26">
        <v>45076</v>
      </c>
      <c r="F124">
        <v>180</v>
      </c>
      <c r="G124">
        <v>4.7</v>
      </c>
      <c r="H124">
        <v>2023</v>
      </c>
      <c r="I124" t="s">
        <v>1076</v>
      </c>
      <c r="J124" t="s">
        <v>1075</v>
      </c>
      <c r="K124">
        <v>5</v>
      </c>
      <c r="L124" t="s">
        <v>1053</v>
      </c>
      <c r="M124">
        <v>5</v>
      </c>
    </row>
    <row r="125" spans="1:13" x14ac:dyDescent="0.25">
      <c r="A125" t="s">
        <v>544</v>
      </c>
      <c r="B125" t="s">
        <v>21</v>
      </c>
      <c r="C125">
        <v>94</v>
      </c>
      <c r="D125" t="s">
        <v>9</v>
      </c>
      <c r="E125" s="26">
        <v>45077</v>
      </c>
      <c r="F125">
        <v>100</v>
      </c>
      <c r="G125">
        <v>3.7</v>
      </c>
      <c r="H125">
        <v>2023</v>
      </c>
      <c r="I125" t="s">
        <v>1078</v>
      </c>
      <c r="J125" t="s">
        <v>1075</v>
      </c>
      <c r="K125">
        <v>4</v>
      </c>
      <c r="L125" t="s">
        <v>1053</v>
      </c>
      <c r="M125">
        <v>5</v>
      </c>
    </row>
    <row r="126" spans="1:13" x14ac:dyDescent="0.25">
      <c r="A126" t="s">
        <v>545</v>
      </c>
      <c r="B126" t="s">
        <v>21</v>
      </c>
      <c r="C126">
        <v>51</v>
      </c>
      <c r="D126" t="s">
        <v>9</v>
      </c>
      <c r="E126" s="26">
        <v>45078</v>
      </c>
      <c r="F126">
        <v>108</v>
      </c>
      <c r="G126">
        <v>4.5</v>
      </c>
      <c r="H126">
        <v>2023</v>
      </c>
      <c r="I126" t="s">
        <v>1080</v>
      </c>
      <c r="J126" t="s">
        <v>1077</v>
      </c>
      <c r="K126">
        <v>5</v>
      </c>
      <c r="L126" t="s">
        <v>1054</v>
      </c>
      <c r="M126">
        <v>6</v>
      </c>
    </row>
    <row r="127" spans="1:13" x14ac:dyDescent="0.25">
      <c r="A127" t="s">
        <v>546</v>
      </c>
      <c r="B127" t="s">
        <v>5</v>
      </c>
      <c r="C127">
        <v>39</v>
      </c>
      <c r="D127" t="s">
        <v>9</v>
      </c>
      <c r="E127" s="26">
        <v>45078</v>
      </c>
      <c r="F127">
        <v>46</v>
      </c>
      <c r="G127">
        <v>4.5999999999999996</v>
      </c>
      <c r="H127">
        <v>2023</v>
      </c>
      <c r="I127" t="s">
        <v>1080</v>
      </c>
      <c r="J127" t="s">
        <v>1077</v>
      </c>
      <c r="K127">
        <v>5</v>
      </c>
      <c r="L127" t="s">
        <v>1054</v>
      </c>
      <c r="M127">
        <v>6</v>
      </c>
    </row>
    <row r="128" spans="1:13" x14ac:dyDescent="0.25">
      <c r="A128" t="s">
        <v>550</v>
      </c>
      <c r="B128" t="s">
        <v>19</v>
      </c>
      <c r="C128">
        <v>49</v>
      </c>
      <c r="D128" t="s">
        <v>9</v>
      </c>
      <c r="E128" s="26">
        <v>45081</v>
      </c>
      <c r="F128">
        <v>100</v>
      </c>
      <c r="G128">
        <v>2.2000000000000002</v>
      </c>
      <c r="H128">
        <v>2023</v>
      </c>
      <c r="I128" t="s">
        <v>1074</v>
      </c>
      <c r="J128" t="s">
        <v>1077</v>
      </c>
      <c r="K128">
        <v>2</v>
      </c>
      <c r="L128" t="s">
        <v>1054</v>
      </c>
      <c r="M128">
        <v>6</v>
      </c>
    </row>
    <row r="129" spans="1:13" x14ac:dyDescent="0.25">
      <c r="A129" t="s">
        <v>554</v>
      </c>
      <c r="B129" t="s">
        <v>12</v>
      </c>
      <c r="C129">
        <v>138</v>
      </c>
      <c r="D129" t="s">
        <v>9</v>
      </c>
      <c r="E129" s="26">
        <v>45082</v>
      </c>
      <c r="F129">
        <v>29</v>
      </c>
      <c r="G129">
        <v>4.4000000000000004</v>
      </c>
      <c r="H129">
        <v>2023</v>
      </c>
      <c r="I129" t="s">
        <v>1082</v>
      </c>
      <c r="J129" t="s">
        <v>1079</v>
      </c>
      <c r="K129">
        <v>4</v>
      </c>
      <c r="L129" t="s">
        <v>1054</v>
      </c>
      <c r="M129">
        <v>6</v>
      </c>
    </row>
    <row r="130" spans="1:13" x14ac:dyDescent="0.25">
      <c r="A130" t="s">
        <v>555</v>
      </c>
      <c r="B130" t="s">
        <v>7</v>
      </c>
      <c r="C130">
        <v>144</v>
      </c>
      <c r="D130" t="s">
        <v>9</v>
      </c>
      <c r="E130" s="26">
        <v>45083</v>
      </c>
      <c r="F130">
        <v>25</v>
      </c>
      <c r="G130">
        <v>3.7</v>
      </c>
      <c r="H130">
        <v>2023</v>
      </c>
      <c r="I130" t="s">
        <v>1076</v>
      </c>
      <c r="J130" t="s">
        <v>1079</v>
      </c>
      <c r="K130">
        <v>4</v>
      </c>
      <c r="L130" t="s">
        <v>1054</v>
      </c>
      <c r="M130">
        <v>6</v>
      </c>
    </row>
    <row r="131" spans="1:13" x14ac:dyDescent="0.25">
      <c r="A131" t="s">
        <v>570</v>
      </c>
      <c r="B131" t="s">
        <v>18</v>
      </c>
      <c r="C131">
        <v>159</v>
      </c>
      <c r="D131" t="s">
        <v>9</v>
      </c>
      <c r="E131" s="26">
        <v>45091</v>
      </c>
      <c r="F131">
        <v>66</v>
      </c>
      <c r="G131">
        <v>3.4</v>
      </c>
      <c r="H131">
        <v>2023</v>
      </c>
      <c r="I131" t="s">
        <v>1078</v>
      </c>
      <c r="J131" t="s">
        <v>1079</v>
      </c>
      <c r="K131">
        <v>3</v>
      </c>
      <c r="L131" t="s">
        <v>1054</v>
      </c>
      <c r="M131">
        <v>6</v>
      </c>
    </row>
    <row r="132" spans="1:13" x14ac:dyDescent="0.25">
      <c r="A132" t="s">
        <v>584</v>
      </c>
      <c r="B132" t="s">
        <v>23</v>
      </c>
      <c r="C132">
        <v>130</v>
      </c>
      <c r="D132" t="s">
        <v>9</v>
      </c>
      <c r="E132" s="26">
        <v>45098</v>
      </c>
      <c r="F132">
        <v>87</v>
      </c>
      <c r="G132">
        <v>3.4</v>
      </c>
      <c r="H132">
        <v>2023</v>
      </c>
      <c r="I132" t="s">
        <v>1078</v>
      </c>
      <c r="J132" t="s">
        <v>1079</v>
      </c>
      <c r="K132">
        <v>3</v>
      </c>
      <c r="L132" t="s">
        <v>1054</v>
      </c>
      <c r="M132">
        <v>6</v>
      </c>
    </row>
    <row r="133" spans="1:13" x14ac:dyDescent="0.25">
      <c r="A133" t="s">
        <v>585</v>
      </c>
      <c r="B133" t="s">
        <v>23</v>
      </c>
      <c r="C133">
        <v>73</v>
      </c>
      <c r="D133" t="s">
        <v>9</v>
      </c>
      <c r="E133" s="26">
        <v>45098</v>
      </c>
      <c r="F133">
        <v>75</v>
      </c>
      <c r="G133">
        <v>2.7</v>
      </c>
      <c r="H133">
        <v>2023</v>
      </c>
      <c r="I133" t="s">
        <v>1078</v>
      </c>
      <c r="J133" t="s">
        <v>1075</v>
      </c>
      <c r="K133">
        <v>3</v>
      </c>
      <c r="L133" t="s">
        <v>1054</v>
      </c>
      <c r="M133">
        <v>6</v>
      </c>
    </row>
    <row r="134" spans="1:13" x14ac:dyDescent="0.25">
      <c r="A134" t="s">
        <v>591</v>
      </c>
      <c r="B134" t="s">
        <v>15</v>
      </c>
      <c r="C134">
        <v>74</v>
      </c>
      <c r="D134" t="s">
        <v>9</v>
      </c>
      <c r="E134" s="26">
        <v>45100</v>
      </c>
      <c r="F134">
        <v>37</v>
      </c>
      <c r="G134">
        <v>2.7</v>
      </c>
      <c r="H134">
        <v>2023</v>
      </c>
      <c r="I134" t="s">
        <v>1083</v>
      </c>
      <c r="J134" t="s">
        <v>1075</v>
      </c>
      <c r="K134">
        <v>3</v>
      </c>
      <c r="L134" t="s">
        <v>1054</v>
      </c>
      <c r="M134">
        <v>6</v>
      </c>
    </row>
    <row r="135" spans="1:13" x14ac:dyDescent="0.25">
      <c r="A135" t="s">
        <v>599</v>
      </c>
      <c r="B135" t="s">
        <v>23</v>
      </c>
      <c r="C135">
        <v>126</v>
      </c>
      <c r="D135" t="s">
        <v>9</v>
      </c>
      <c r="E135" s="26">
        <v>45103</v>
      </c>
      <c r="F135">
        <v>190</v>
      </c>
      <c r="G135">
        <v>2.4</v>
      </c>
      <c r="H135">
        <v>2023</v>
      </c>
      <c r="I135" t="s">
        <v>1082</v>
      </c>
      <c r="J135" t="s">
        <v>1079</v>
      </c>
      <c r="K135">
        <v>2</v>
      </c>
      <c r="L135" t="s">
        <v>1054</v>
      </c>
      <c r="M135">
        <v>6</v>
      </c>
    </row>
    <row r="136" spans="1:13" x14ac:dyDescent="0.25">
      <c r="A136" t="s">
        <v>604</v>
      </c>
      <c r="B136" t="s">
        <v>14</v>
      </c>
      <c r="C136">
        <v>63</v>
      </c>
      <c r="D136" t="s">
        <v>9</v>
      </c>
      <c r="E136" s="26">
        <v>45104</v>
      </c>
      <c r="F136">
        <v>70</v>
      </c>
      <c r="G136">
        <v>1.6</v>
      </c>
      <c r="H136">
        <v>2023</v>
      </c>
      <c r="I136" t="s">
        <v>1076</v>
      </c>
      <c r="J136" t="s">
        <v>1075</v>
      </c>
      <c r="K136">
        <v>2</v>
      </c>
      <c r="L136" t="s">
        <v>1054</v>
      </c>
      <c r="M136">
        <v>6</v>
      </c>
    </row>
    <row r="137" spans="1:13" x14ac:dyDescent="0.25">
      <c r="A137" t="s">
        <v>606</v>
      </c>
      <c r="B137" t="s">
        <v>18</v>
      </c>
      <c r="C137">
        <v>101</v>
      </c>
      <c r="D137" t="s">
        <v>9</v>
      </c>
      <c r="E137" s="26">
        <v>45104</v>
      </c>
      <c r="F137">
        <v>84</v>
      </c>
      <c r="G137">
        <v>3.5</v>
      </c>
      <c r="H137">
        <v>2023</v>
      </c>
      <c r="I137" t="s">
        <v>1076</v>
      </c>
      <c r="J137" t="s">
        <v>1075</v>
      </c>
      <c r="K137">
        <v>4</v>
      </c>
      <c r="L137" t="s">
        <v>1054</v>
      </c>
      <c r="M137">
        <v>6</v>
      </c>
    </row>
    <row r="138" spans="1:13" x14ac:dyDescent="0.25">
      <c r="A138" t="s">
        <v>617</v>
      </c>
      <c r="B138" t="s">
        <v>7</v>
      </c>
      <c r="C138">
        <v>128</v>
      </c>
      <c r="D138" t="s">
        <v>9</v>
      </c>
      <c r="E138" s="26">
        <v>45108</v>
      </c>
      <c r="F138">
        <v>140</v>
      </c>
      <c r="G138">
        <v>4.3</v>
      </c>
      <c r="H138">
        <v>2024</v>
      </c>
      <c r="I138" t="s">
        <v>1081</v>
      </c>
      <c r="J138" t="s">
        <v>1079</v>
      </c>
      <c r="K138">
        <v>4</v>
      </c>
      <c r="L138" t="s">
        <v>1055</v>
      </c>
      <c r="M138">
        <v>7</v>
      </c>
    </row>
    <row r="139" spans="1:13" x14ac:dyDescent="0.25">
      <c r="A139" t="s">
        <v>618</v>
      </c>
      <c r="B139" t="s">
        <v>14</v>
      </c>
      <c r="C139">
        <v>110</v>
      </c>
      <c r="D139" t="s">
        <v>9</v>
      </c>
      <c r="E139" s="26">
        <v>45109</v>
      </c>
      <c r="F139">
        <v>104</v>
      </c>
      <c r="G139">
        <v>4.4000000000000004</v>
      </c>
      <c r="H139">
        <v>2024</v>
      </c>
      <c r="I139" t="s">
        <v>1074</v>
      </c>
      <c r="J139" t="s">
        <v>1075</v>
      </c>
      <c r="K139">
        <v>4</v>
      </c>
      <c r="L139" t="s">
        <v>1055</v>
      </c>
      <c r="M139">
        <v>7</v>
      </c>
    </row>
    <row r="140" spans="1:13" x14ac:dyDescent="0.25">
      <c r="A140" t="s">
        <v>626</v>
      </c>
      <c r="B140" t="s">
        <v>8</v>
      </c>
      <c r="C140">
        <v>55</v>
      </c>
      <c r="D140" t="s">
        <v>9</v>
      </c>
      <c r="E140" s="26">
        <v>45114</v>
      </c>
      <c r="F140">
        <v>112</v>
      </c>
      <c r="G140">
        <v>4.5</v>
      </c>
      <c r="H140">
        <v>2024</v>
      </c>
      <c r="I140" t="s">
        <v>1083</v>
      </c>
      <c r="J140" t="s">
        <v>1077</v>
      </c>
      <c r="K140">
        <v>5</v>
      </c>
      <c r="L140" t="s">
        <v>1055</v>
      </c>
      <c r="M140">
        <v>7</v>
      </c>
    </row>
    <row r="141" spans="1:13" x14ac:dyDescent="0.25">
      <c r="A141" t="s">
        <v>637</v>
      </c>
      <c r="B141" t="s">
        <v>5</v>
      </c>
      <c r="C141">
        <v>131</v>
      </c>
      <c r="D141" t="s">
        <v>9</v>
      </c>
      <c r="E141" s="26">
        <v>45118</v>
      </c>
      <c r="F141">
        <v>76</v>
      </c>
      <c r="G141">
        <v>4.5</v>
      </c>
      <c r="H141">
        <v>2024</v>
      </c>
      <c r="I141" t="s">
        <v>1076</v>
      </c>
      <c r="J141" t="s">
        <v>1079</v>
      </c>
      <c r="K141">
        <v>5</v>
      </c>
      <c r="L141" t="s">
        <v>1055</v>
      </c>
      <c r="M141">
        <v>7</v>
      </c>
    </row>
    <row r="142" spans="1:13" x14ac:dyDescent="0.25">
      <c r="A142" t="s">
        <v>638</v>
      </c>
      <c r="B142" t="s">
        <v>23</v>
      </c>
      <c r="C142">
        <v>73</v>
      </c>
      <c r="D142" t="s">
        <v>9</v>
      </c>
      <c r="E142" s="26">
        <v>45119</v>
      </c>
      <c r="F142">
        <v>87</v>
      </c>
      <c r="G142">
        <v>4.8</v>
      </c>
      <c r="H142">
        <v>2024</v>
      </c>
      <c r="I142" t="s">
        <v>1078</v>
      </c>
      <c r="J142" t="s">
        <v>1075</v>
      </c>
      <c r="K142">
        <v>5</v>
      </c>
      <c r="L142" t="s">
        <v>1055</v>
      </c>
      <c r="M142">
        <v>7</v>
      </c>
    </row>
    <row r="143" spans="1:13" x14ac:dyDescent="0.25">
      <c r="A143" t="s">
        <v>641</v>
      </c>
      <c r="B143" t="s">
        <v>22</v>
      </c>
      <c r="C143">
        <v>69</v>
      </c>
      <c r="D143" t="s">
        <v>9</v>
      </c>
      <c r="E143" s="26">
        <v>45120</v>
      </c>
      <c r="F143">
        <v>56</v>
      </c>
      <c r="G143">
        <v>3.9</v>
      </c>
      <c r="H143">
        <v>2024</v>
      </c>
      <c r="I143" t="s">
        <v>1080</v>
      </c>
      <c r="J143" t="s">
        <v>1075</v>
      </c>
      <c r="K143">
        <v>4</v>
      </c>
      <c r="L143" t="s">
        <v>1055</v>
      </c>
      <c r="M143">
        <v>7</v>
      </c>
    </row>
    <row r="144" spans="1:13" x14ac:dyDescent="0.25">
      <c r="A144" t="s">
        <v>656</v>
      </c>
      <c r="B144" t="s">
        <v>12</v>
      </c>
      <c r="C144">
        <v>121</v>
      </c>
      <c r="D144" t="s">
        <v>9</v>
      </c>
      <c r="E144" s="26">
        <v>45127</v>
      </c>
      <c r="F144">
        <v>20</v>
      </c>
      <c r="G144">
        <v>2.7</v>
      </c>
      <c r="H144">
        <v>2024</v>
      </c>
      <c r="I144" t="s">
        <v>1080</v>
      </c>
      <c r="J144" t="s">
        <v>1079</v>
      </c>
      <c r="K144">
        <v>3</v>
      </c>
      <c r="L144" t="s">
        <v>1055</v>
      </c>
      <c r="M144">
        <v>7</v>
      </c>
    </row>
    <row r="145" spans="1:13" x14ac:dyDescent="0.25">
      <c r="A145" t="s">
        <v>662</v>
      </c>
      <c r="B145" t="s">
        <v>21</v>
      </c>
      <c r="C145">
        <v>87</v>
      </c>
      <c r="D145" t="s">
        <v>9</v>
      </c>
      <c r="E145" s="26">
        <v>45132</v>
      </c>
      <c r="F145">
        <v>125</v>
      </c>
      <c r="G145">
        <v>4.5</v>
      </c>
      <c r="H145">
        <v>2024</v>
      </c>
      <c r="I145" t="s">
        <v>1076</v>
      </c>
      <c r="J145" t="s">
        <v>1075</v>
      </c>
      <c r="K145">
        <v>5</v>
      </c>
      <c r="L145" t="s">
        <v>1055</v>
      </c>
      <c r="M145">
        <v>7</v>
      </c>
    </row>
    <row r="146" spans="1:13" x14ac:dyDescent="0.25">
      <c r="A146" t="s">
        <v>675</v>
      </c>
      <c r="B146" t="s">
        <v>16</v>
      </c>
      <c r="C146">
        <v>163</v>
      </c>
      <c r="D146" t="s">
        <v>9</v>
      </c>
      <c r="E146" s="26">
        <v>45138</v>
      </c>
      <c r="F146">
        <v>76</v>
      </c>
      <c r="G146">
        <v>4.4000000000000004</v>
      </c>
      <c r="H146">
        <v>2024</v>
      </c>
      <c r="I146" t="s">
        <v>1082</v>
      </c>
      <c r="J146" t="s">
        <v>1079</v>
      </c>
      <c r="K146">
        <v>4</v>
      </c>
      <c r="L146" t="s">
        <v>1055</v>
      </c>
      <c r="M146">
        <v>7</v>
      </c>
    </row>
    <row r="147" spans="1:13" x14ac:dyDescent="0.25">
      <c r="A147" t="s">
        <v>678</v>
      </c>
      <c r="B147" t="s">
        <v>7</v>
      </c>
      <c r="C147">
        <v>69</v>
      </c>
      <c r="D147" t="s">
        <v>9</v>
      </c>
      <c r="E147" s="26">
        <v>45141</v>
      </c>
      <c r="F147">
        <v>20</v>
      </c>
      <c r="G147">
        <v>4.3</v>
      </c>
      <c r="H147">
        <v>2024</v>
      </c>
      <c r="I147" t="s">
        <v>1080</v>
      </c>
      <c r="J147" t="s">
        <v>1075</v>
      </c>
      <c r="K147">
        <v>4</v>
      </c>
      <c r="L147" t="s">
        <v>1056</v>
      </c>
      <c r="M147">
        <v>8</v>
      </c>
    </row>
    <row r="148" spans="1:13" x14ac:dyDescent="0.25">
      <c r="A148" t="s">
        <v>680</v>
      </c>
      <c r="B148" t="s">
        <v>18</v>
      </c>
      <c r="C148">
        <v>97</v>
      </c>
      <c r="D148" t="s">
        <v>9</v>
      </c>
      <c r="E148" s="26">
        <v>45142</v>
      </c>
      <c r="F148">
        <v>105</v>
      </c>
      <c r="G148">
        <v>2.9</v>
      </c>
      <c r="H148">
        <v>2024</v>
      </c>
      <c r="I148" t="s">
        <v>1083</v>
      </c>
      <c r="J148" t="s">
        <v>1075</v>
      </c>
      <c r="K148">
        <v>3</v>
      </c>
      <c r="L148" t="s">
        <v>1056</v>
      </c>
      <c r="M148">
        <v>8</v>
      </c>
    </row>
    <row r="149" spans="1:13" x14ac:dyDescent="0.25">
      <c r="A149" t="s">
        <v>682</v>
      </c>
      <c r="B149" t="s">
        <v>23</v>
      </c>
      <c r="C149">
        <v>56</v>
      </c>
      <c r="D149" t="s">
        <v>9</v>
      </c>
      <c r="E149" s="26">
        <v>45143</v>
      </c>
      <c r="F149">
        <v>152</v>
      </c>
      <c r="G149">
        <v>4.5999999999999996</v>
      </c>
      <c r="H149">
        <v>2024</v>
      </c>
      <c r="I149" t="s">
        <v>1081</v>
      </c>
      <c r="J149" t="s">
        <v>1077</v>
      </c>
      <c r="K149">
        <v>5</v>
      </c>
      <c r="L149" t="s">
        <v>1056</v>
      </c>
      <c r="M149">
        <v>8</v>
      </c>
    </row>
    <row r="150" spans="1:13" x14ac:dyDescent="0.25">
      <c r="A150" t="s">
        <v>687</v>
      </c>
      <c r="B150" t="s">
        <v>8</v>
      </c>
      <c r="C150">
        <v>124</v>
      </c>
      <c r="D150" t="s">
        <v>9</v>
      </c>
      <c r="E150" s="26">
        <v>45146</v>
      </c>
      <c r="F150">
        <v>54</v>
      </c>
      <c r="G150">
        <v>3.8</v>
      </c>
      <c r="H150">
        <v>2024</v>
      </c>
      <c r="I150" t="s">
        <v>1076</v>
      </c>
      <c r="J150" t="s">
        <v>1079</v>
      </c>
      <c r="K150">
        <v>4</v>
      </c>
      <c r="L150" t="s">
        <v>1056</v>
      </c>
      <c r="M150">
        <v>8</v>
      </c>
    </row>
    <row r="151" spans="1:13" x14ac:dyDescent="0.25">
      <c r="A151" t="s">
        <v>688</v>
      </c>
      <c r="B151" t="s">
        <v>12</v>
      </c>
      <c r="C151">
        <v>130</v>
      </c>
      <c r="D151" t="s">
        <v>9</v>
      </c>
      <c r="E151" s="26">
        <v>45146</v>
      </c>
      <c r="F151">
        <v>60</v>
      </c>
      <c r="G151">
        <v>2.5</v>
      </c>
      <c r="H151">
        <v>2024</v>
      </c>
      <c r="I151" t="s">
        <v>1076</v>
      </c>
      <c r="J151" t="s">
        <v>1079</v>
      </c>
      <c r="K151">
        <v>3</v>
      </c>
      <c r="L151" t="s">
        <v>1056</v>
      </c>
      <c r="M151">
        <v>8</v>
      </c>
    </row>
    <row r="152" spans="1:13" x14ac:dyDescent="0.25">
      <c r="A152" t="s">
        <v>694</v>
      </c>
      <c r="B152" t="s">
        <v>16</v>
      </c>
      <c r="C152">
        <v>103</v>
      </c>
      <c r="D152" t="s">
        <v>9</v>
      </c>
      <c r="E152" s="26">
        <v>45151</v>
      </c>
      <c r="F152">
        <v>200</v>
      </c>
      <c r="G152">
        <v>4.9000000000000004</v>
      </c>
      <c r="H152">
        <v>2024</v>
      </c>
      <c r="I152" t="s">
        <v>1074</v>
      </c>
      <c r="J152" t="s">
        <v>1075</v>
      </c>
      <c r="K152">
        <v>5</v>
      </c>
      <c r="L152" t="s">
        <v>1056</v>
      </c>
      <c r="M152">
        <v>8</v>
      </c>
    </row>
    <row r="153" spans="1:13" x14ac:dyDescent="0.25">
      <c r="A153" t="s">
        <v>696</v>
      </c>
      <c r="B153" t="s">
        <v>20</v>
      </c>
      <c r="C153">
        <v>128</v>
      </c>
      <c r="D153" t="s">
        <v>9</v>
      </c>
      <c r="E153" s="26">
        <v>45155</v>
      </c>
      <c r="F153">
        <v>22</v>
      </c>
      <c r="G153">
        <v>1.9</v>
      </c>
      <c r="H153">
        <v>2024</v>
      </c>
      <c r="I153" t="s">
        <v>1080</v>
      </c>
      <c r="J153" t="s">
        <v>1079</v>
      </c>
      <c r="K153">
        <v>2</v>
      </c>
      <c r="L153" t="s">
        <v>1056</v>
      </c>
      <c r="M153">
        <v>8</v>
      </c>
    </row>
    <row r="154" spans="1:13" x14ac:dyDescent="0.25">
      <c r="A154" t="s">
        <v>705</v>
      </c>
      <c r="B154" t="s">
        <v>21</v>
      </c>
      <c r="C154">
        <v>151</v>
      </c>
      <c r="D154" t="s">
        <v>9</v>
      </c>
      <c r="E154" s="26">
        <v>45159</v>
      </c>
      <c r="F154">
        <v>63</v>
      </c>
      <c r="G154">
        <v>4.0999999999999996</v>
      </c>
      <c r="H154">
        <v>2024</v>
      </c>
      <c r="I154" t="s">
        <v>1082</v>
      </c>
      <c r="J154" t="s">
        <v>1079</v>
      </c>
      <c r="K154">
        <v>4</v>
      </c>
      <c r="L154" t="s">
        <v>1056</v>
      </c>
      <c r="M154">
        <v>8</v>
      </c>
    </row>
    <row r="155" spans="1:13" x14ac:dyDescent="0.25">
      <c r="A155" t="s">
        <v>709</v>
      </c>
      <c r="B155" t="s">
        <v>24</v>
      </c>
      <c r="C155">
        <v>18</v>
      </c>
      <c r="D155" t="s">
        <v>9</v>
      </c>
      <c r="E155" s="26">
        <v>45162</v>
      </c>
      <c r="F155">
        <v>40</v>
      </c>
      <c r="G155">
        <v>4.4000000000000004</v>
      </c>
      <c r="H155">
        <v>2024</v>
      </c>
      <c r="I155" t="s">
        <v>1080</v>
      </c>
      <c r="J155" t="s">
        <v>1084</v>
      </c>
      <c r="K155">
        <v>4</v>
      </c>
      <c r="L155" t="s">
        <v>1056</v>
      </c>
      <c r="M155">
        <v>8</v>
      </c>
    </row>
    <row r="156" spans="1:13" x14ac:dyDescent="0.25">
      <c r="A156" t="s">
        <v>712</v>
      </c>
      <c r="B156" t="s">
        <v>21</v>
      </c>
      <c r="C156">
        <v>108</v>
      </c>
      <c r="D156" t="s">
        <v>9</v>
      </c>
      <c r="E156" s="26">
        <v>45163</v>
      </c>
      <c r="F156">
        <v>80</v>
      </c>
      <c r="G156">
        <v>4.3</v>
      </c>
      <c r="H156">
        <v>2024</v>
      </c>
      <c r="I156" t="s">
        <v>1083</v>
      </c>
      <c r="J156" t="s">
        <v>1075</v>
      </c>
      <c r="K156">
        <v>4</v>
      </c>
      <c r="L156" t="s">
        <v>1056</v>
      </c>
      <c r="M156">
        <v>8</v>
      </c>
    </row>
    <row r="157" spans="1:13" x14ac:dyDescent="0.25">
      <c r="A157" t="s">
        <v>713</v>
      </c>
      <c r="B157" t="s">
        <v>7</v>
      </c>
      <c r="C157">
        <v>52</v>
      </c>
      <c r="D157" t="s">
        <v>9</v>
      </c>
      <c r="E157" s="26">
        <v>45164</v>
      </c>
      <c r="F157">
        <v>66</v>
      </c>
      <c r="G157">
        <v>4.5</v>
      </c>
      <c r="H157">
        <v>2024</v>
      </c>
      <c r="I157" t="s">
        <v>1081</v>
      </c>
      <c r="J157" t="s">
        <v>1077</v>
      </c>
      <c r="K157">
        <v>5</v>
      </c>
      <c r="L157" t="s">
        <v>1056</v>
      </c>
      <c r="M157">
        <v>8</v>
      </c>
    </row>
    <row r="158" spans="1:13" x14ac:dyDescent="0.25">
      <c r="A158" t="s">
        <v>723</v>
      </c>
      <c r="B158" t="s">
        <v>8</v>
      </c>
      <c r="C158">
        <v>70</v>
      </c>
      <c r="D158" t="s">
        <v>9</v>
      </c>
      <c r="E158" s="26">
        <v>45168</v>
      </c>
      <c r="F158">
        <v>210</v>
      </c>
      <c r="G158">
        <v>4.0999999999999996</v>
      </c>
      <c r="H158">
        <v>2024</v>
      </c>
      <c r="I158" t="s">
        <v>1078</v>
      </c>
      <c r="J158" t="s">
        <v>1075</v>
      </c>
      <c r="K158">
        <v>4</v>
      </c>
      <c r="L158" t="s">
        <v>1056</v>
      </c>
      <c r="M158">
        <v>8</v>
      </c>
    </row>
    <row r="159" spans="1:13" x14ac:dyDescent="0.25">
      <c r="A159" t="s">
        <v>725</v>
      </c>
      <c r="B159" t="s">
        <v>12</v>
      </c>
      <c r="C159">
        <v>100</v>
      </c>
      <c r="D159" t="s">
        <v>9</v>
      </c>
      <c r="E159" s="26">
        <v>45169</v>
      </c>
      <c r="F159">
        <v>45</v>
      </c>
      <c r="G159">
        <v>4.9000000000000004</v>
      </c>
      <c r="H159">
        <v>2024</v>
      </c>
      <c r="I159" t="s">
        <v>1080</v>
      </c>
      <c r="J159" t="s">
        <v>1075</v>
      </c>
      <c r="K159">
        <v>5</v>
      </c>
      <c r="L159" t="s">
        <v>1056</v>
      </c>
      <c r="M159">
        <v>8</v>
      </c>
    </row>
    <row r="160" spans="1:13" x14ac:dyDescent="0.25">
      <c r="A160" t="s">
        <v>729</v>
      </c>
      <c r="B160" t="s">
        <v>17</v>
      </c>
      <c r="C160">
        <v>84</v>
      </c>
      <c r="D160" t="s">
        <v>9</v>
      </c>
      <c r="E160" s="26">
        <v>45172</v>
      </c>
      <c r="F160">
        <v>72</v>
      </c>
      <c r="G160">
        <v>4</v>
      </c>
      <c r="H160">
        <v>2024</v>
      </c>
      <c r="I160" t="s">
        <v>1074</v>
      </c>
      <c r="J160" t="s">
        <v>1075</v>
      </c>
      <c r="K160">
        <v>4</v>
      </c>
      <c r="L160" t="s">
        <v>1057</v>
      </c>
      <c r="M160">
        <v>9</v>
      </c>
    </row>
    <row r="161" spans="1:13" x14ac:dyDescent="0.25">
      <c r="A161" t="s">
        <v>730</v>
      </c>
      <c r="B161" t="s">
        <v>22</v>
      </c>
      <c r="C161">
        <v>111</v>
      </c>
      <c r="D161" t="s">
        <v>9</v>
      </c>
      <c r="E161" s="26">
        <v>45172</v>
      </c>
      <c r="F161">
        <v>63</v>
      </c>
      <c r="G161">
        <v>4.5</v>
      </c>
      <c r="H161">
        <v>2024</v>
      </c>
      <c r="I161" t="s">
        <v>1074</v>
      </c>
      <c r="J161" t="s">
        <v>1075</v>
      </c>
      <c r="K161">
        <v>5</v>
      </c>
      <c r="L161" t="s">
        <v>1057</v>
      </c>
      <c r="M161">
        <v>9</v>
      </c>
    </row>
    <row r="162" spans="1:13" x14ac:dyDescent="0.25">
      <c r="A162" t="s">
        <v>741</v>
      </c>
      <c r="B162" t="s">
        <v>16</v>
      </c>
      <c r="C162">
        <v>97</v>
      </c>
      <c r="D162" t="s">
        <v>9</v>
      </c>
      <c r="E162" s="26">
        <v>45177</v>
      </c>
      <c r="F162">
        <v>45</v>
      </c>
      <c r="G162">
        <v>4.5999999999999996</v>
      </c>
      <c r="H162">
        <v>2024</v>
      </c>
      <c r="I162" t="s">
        <v>1083</v>
      </c>
      <c r="J162" t="s">
        <v>1075</v>
      </c>
      <c r="K162">
        <v>5</v>
      </c>
      <c r="L162" t="s">
        <v>1057</v>
      </c>
      <c r="M162">
        <v>9</v>
      </c>
    </row>
    <row r="163" spans="1:13" x14ac:dyDescent="0.25">
      <c r="A163" t="s">
        <v>746</v>
      </c>
      <c r="B163" t="s">
        <v>7</v>
      </c>
      <c r="C163">
        <v>143</v>
      </c>
      <c r="D163" t="s">
        <v>9</v>
      </c>
      <c r="E163" s="26">
        <v>45178</v>
      </c>
      <c r="F163">
        <v>78</v>
      </c>
      <c r="G163">
        <v>4</v>
      </c>
      <c r="H163">
        <v>2024</v>
      </c>
      <c r="I163" t="s">
        <v>1081</v>
      </c>
      <c r="J163" t="s">
        <v>1079</v>
      </c>
      <c r="K163">
        <v>4</v>
      </c>
      <c r="L163" t="s">
        <v>1057</v>
      </c>
      <c r="M163">
        <v>9</v>
      </c>
    </row>
    <row r="164" spans="1:13" x14ac:dyDescent="0.25">
      <c r="A164" t="s">
        <v>750</v>
      </c>
      <c r="B164" t="s">
        <v>18</v>
      </c>
      <c r="C164">
        <v>107</v>
      </c>
      <c r="D164" t="s">
        <v>9</v>
      </c>
      <c r="E164" s="26">
        <v>45179</v>
      </c>
      <c r="F164">
        <v>38</v>
      </c>
      <c r="G164">
        <v>4.7</v>
      </c>
      <c r="H164">
        <v>2024</v>
      </c>
      <c r="I164" t="s">
        <v>1074</v>
      </c>
      <c r="J164" t="s">
        <v>1075</v>
      </c>
      <c r="K164">
        <v>5</v>
      </c>
      <c r="L164" t="s">
        <v>1057</v>
      </c>
      <c r="M164">
        <v>9</v>
      </c>
    </row>
    <row r="165" spans="1:13" x14ac:dyDescent="0.25">
      <c r="A165" t="s">
        <v>751</v>
      </c>
      <c r="B165" t="s">
        <v>20</v>
      </c>
      <c r="C165">
        <v>58</v>
      </c>
      <c r="D165" t="s">
        <v>9</v>
      </c>
      <c r="E165" s="26">
        <v>45181</v>
      </c>
      <c r="F165">
        <v>90</v>
      </c>
      <c r="G165">
        <v>4.3</v>
      </c>
      <c r="H165">
        <v>2024</v>
      </c>
      <c r="I165" t="s">
        <v>1076</v>
      </c>
      <c r="J165" t="s">
        <v>1077</v>
      </c>
      <c r="K165">
        <v>4</v>
      </c>
      <c r="L165" t="s">
        <v>1057</v>
      </c>
      <c r="M165">
        <v>9</v>
      </c>
    </row>
    <row r="166" spans="1:13" x14ac:dyDescent="0.25">
      <c r="A166" t="s">
        <v>752</v>
      </c>
      <c r="B166" t="s">
        <v>14</v>
      </c>
      <c r="C166">
        <v>66</v>
      </c>
      <c r="D166" t="s">
        <v>9</v>
      </c>
      <c r="E166" s="26">
        <v>45181</v>
      </c>
      <c r="F166">
        <v>32</v>
      </c>
      <c r="G166">
        <v>3.8</v>
      </c>
      <c r="H166">
        <v>2024</v>
      </c>
      <c r="I166" t="s">
        <v>1076</v>
      </c>
      <c r="J166" t="s">
        <v>1075</v>
      </c>
      <c r="K166">
        <v>4</v>
      </c>
      <c r="L166" t="s">
        <v>1057</v>
      </c>
      <c r="M166">
        <v>9</v>
      </c>
    </row>
    <row r="167" spans="1:13" x14ac:dyDescent="0.25">
      <c r="A167" t="s">
        <v>754</v>
      </c>
      <c r="B167" t="s">
        <v>18</v>
      </c>
      <c r="C167">
        <v>8</v>
      </c>
      <c r="D167" t="s">
        <v>9</v>
      </c>
      <c r="E167" s="26">
        <v>45181</v>
      </c>
      <c r="F167">
        <v>31</v>
      </c>
      <c r="G167">
        <v>3.9</v>
      </c>
      <c r="H167">
        <v>2024</v>
      </c>
      <c r="I167" t="s">
        <v>1076</v>
      </c>
      <c r="J167" t="s">
        <v>1085</v>
      </c>
      <c r="K167">
        <v>4</v>
      </c>
      <c r="L167" t="s">
        <v>1057</v>
      </c>
      <c r="M167">
        <v>9</v>
      </c>
    </row>
    <row r="168" spans="1:13" x14ac:dyDescent="0.25">
      <c r="A168" t="s">
        <v>760</v>
      </c>
      <c r="B168" t="s">
        <v>15</v>
      </c>
      <c r="C168">
        <v>126</v>
      </c>
      <c r="D168" t="s">
        <v>9</v>
      </c>
      <c r="E168" s="26">
        <v>45185</v>
      </c>
      <c r="F168">
        <v>52</v>
      </c>
      <c r="G168">
        <v>1.1000000000000001</v>
      </c>
      <c r="H168">
        <v>2024</v>
      </c>
      <c r="I168" t="s">
        <v>1081</v>
      </c>
      <c r="J168" t="s">
        <v>1079</v>
      </c>
      <c r="K168">
        <v>1</v>
      </c>
      <c r="L168" t="s">
        <v>1057</v>
      </c>
      <c r="M168">
        <v>9</v>
      </c>
    </row>
    <row r="169" spans="1:13" x14ac:dyDescent="0.25">
      <c r="A169" t="s">
        <v>764</v>
      </c>
      <c r="B169" t="s">
        <v>22</v>
      </c>
      <c r="C169">
        <v>94</v>
      </c>
      <c r="D169" t="s">
        <v>9</v>
      </c>
      <c r="E169" s="26">
        <v>45190</v>
      </c>
      <c r="F169">
        <v>220</v>
      </c>
      <c r="G169">
        <v>4.5999999999999996</v>
      </c>
      <c r="H169">
        <v>2024</v>
      </c>
      <c r="I169" t="s">
        <v>1080</v>
      </c>
      <c r="J169" t="s">
        <v>1075</v>
      </c>
      <c r="K169">
        <v>5</v>
      </c>
      <c r="L169" t="s">
        <v>1057</v>
      </c>
      <c r="M169">
        <v>9</v>
      </c>
    </row>
    <row r="170" spans="1:13" x14ac:dyDescent="0.25">
      <c r="A170" t="s">
        <v>766</v>
      </c>
      <c r="B170" t="s">
        <v>23</v>
      </c>
      <c r="C170">
        <v>76</v>
      </c>
      <c r="D170" t="s">
        <v>9</v>
      </c>
      <c r="E170" s="26">
        <v>45190</v>
      </c>
      <c r="F170">
        <v>110</v>
      </c>
      <c r="G170">
        <v>3.9</v>
      </c>
      <c r="H170">
        <v>2024</v>
      </c>
      <c r="I170" t="s">
        <v>1080</v>
      </c>
      <c r="J170" t="s">
        <v>1075</v>
      </c>
      <c r="K170">
        <v>4</v>
      </c>
      <c r="L170" t="s">
        <v>1057</v>
      </c>
      <c r="M170">
        <v>9</v>
      </c>
    </row>
    <row r="171" spans="1:13" x14ac:dyDescent="0.25">
      <c r="A171" t="s">
        <v>776</v>
      </c>
      <c r="B171" t="s">
        <v>19</v>
      </c>
      <c r="C171">
        <v>159</v>
      </c>
      <c r="D171" t="s">
        <v>9</v>
      </c>
      <c r="E171" s="26">
        <v>45193</v>
      </c>
      <c r="F171">
        <v>63</v>
      </c>
      <c r="G171">
        <v>4.2</v>
      </c>
      <c r="H171">
        <v>2024</v>
      </c>
      <c r="I171" t="s">
        <v>1074</v>
      </c>
      <c r="J171" t="s">
        <v>1079</v>
      </c>
      <c r="K171">
        <v>4</v>
      </c>
      <c r="L171" t="s">
        <v>1057</v>
      </c>
      <c r="M171">
        <v>9</v>
      </c>
    </row>
    <row r="172" spans="1:13" x14ac:dyDescent="0.25">
      <c r="A172" t="s">
        <v>781</v>
      </c>
      <c r="B172" t="s">
        <v>7</v>
      </c>
      <c r="C172">
        <v>142</v>
      </c>
      <c r="D172" t="s">
        <v>9</v>
      </c>
      <c r="E172" s="26">
        <v>45196</v>
      </c>
      <c r="F172">
        <v>37</v>
      </c>
      <c r="G172">
        <v>3.8</v>
      </c>
      <c r="H172">
        <v>2024</v>
      </c>
      <c r="I172" t="s">
        <v>1078</v>
      </c>
      <c r="J172" t="s">
        <v>1079</v>
      </c>
      <c r="K172">
        <v>4</v>
      </c>
      <c r="L172" t="s">
        <v>1057</v>
      </c>
      <c r="M172">
        <v>9</v>
      </c>
    </row>
    <row r="173" spans="1:13" x14ac:dyDescent="0.25">
      <c r="A173" t="s">
        <v>784</v>
      </c>
      <c r="B173" t="s">
        <v>17</v>
      </c>
      <c r="C173">
        <v>108</v>
      </c>
      <c r="D173" t="s">
        <v>9</v>
      </c>
      <c r="E173" s="26">
        <v>45196</v>
      </c>
      <c r="F173">
        <v>190</v>
      </c>
      <c r="G173">
        <v>3.2</v>
      </c>
      <c r="H173">
        <v>2024</v>
      </c>
      <c r="I173" t="s">
        <v>1078</v>
      </c>
      <c r="J173" t="s">
        <v>1075</v>
      </c>
      <c r="K173">
        <v>3</v>
      </c>
      <c r="L173" t="s">
        <v>1057</v>
      </c>
      <c r="M173">
        <v>9</v>
      </c>
    </row>
    <row r="174" spans="1:13" x14ac:dyDescent="0.25">
      <c r="A174" t="s">
        <v>786</v>
      </c>
      <c r="B174" t="s">
        <v>7</v>
      </c>
      <c r="C174">
        <v>126</v>
      </c>
      <c r="D174" t="s">
        <v>9</v>
      </c>
      <c r="E174" s="26">
        <v>45196</v>
      </c>
      <c r="F174">
        <v>44</v>
      </c>
      <c r="G174">
        <v>3.7</v>
      </c>
      <c r="H174">
        <v>2024</v>
      </c>
      <c r="I174" t="s">
        <v>1078</v>
      </c>
      <c r="J174" t="s">
        <v>1079</v>
      </c>
      <c r="K174">
        <v>4</v>
      </c>
      <c r="L174" t="s">
        <v>1057</v>
      </c>
      <c r="M174">
        <v>9</v>
      </c>
    </row>
    <row r="175" spans="1:13" x14ac:dyDescent="0.25">
      <c r="A175" t="s">
        <v>790</v>
      </c>
      <c r="B175" t="s">
        <v>22</v>
      </c>
      <c r="C175">
        <v>127</v>
      </c>
      <c r="D175" t="s">
        <v>9</v>
      </c>
      <c r="E175" s="26">
        <v>45198</v>
      </c>
      <c r="F175">
        <v>112</v>
      </c>
      <c r="G175">
        <v>4.5999999999999996</v>
      </c>
      <c r="H175">
        <v>2024</v>
      </c>
      <c r="I175" t="s">
        <v>1083</v>
      </c>
      <c r="J175" t="s">
        <v>1079</v>
      </c>
      <c r="K175">
        <v>5</v>
      </c>
      <c r="L175" t="s">
        <v>1057</v>
      </c>
      <c r="M175">
        <v>9</v>
      </c>
    </row>
    <row r="176" spans="1:13" x14ac:dyDescent="0.25">
      <c r="A176" t="s">
        <v>792</v>
      </c>
      <c r="B176" t="s">
        <v>19</v>
      </c>
      <c r="C176">
        <v>125</v>
      </c>
      <c r="D176" t="s">
        <v>9</v>
      </c>
      <c r="E176" s="26">
        <v>45198</v>
      </c>
      <c r="F176">
        <v>116</v>
      </c>
      <c r="G176">
        <v>4.4000000000000004</v>
      </c>
      <c r="H176">
        <v>2024</v>
      </c>
      <c r="I176" t="s">
        <v>1083</v>
      </c>
      <c r="J176" t="s">
        <v>1079</v>
      </c>
      <c r="K176">
        <v>4</v>
      </c>
      <c r="L176" t="s">
        <v>1057</v>
      </c>
      <c r="M176">
        <v>9</v>
      </c>
    </row>
    <row r="177" spans="1:13" x14ac:dyDescent="0.25">
      <c r="A177" t="s">
        <v>793</v>
      </c>
      <c r="B177" t="s">
        <v>12</v>
      </c>
      <c r="C177">
        <v>70</v>
      </c>
      <c r="D177" t="s">
        <v>9</v>
      </c>
      <c r="E177" s="26">
        <v>45198</v>
      </c>
      <c r="F177">
        <v>29</v>
      </c>
      <c r="G177">
        <v>2.1</v>
      </c>
      <c r="H177">
        <v>2024</v>
      </c>
      <c r="I177" t="s">
        <v>1083</v>
      </c>
      <c r="J177" t="s">
        <v>1075</v>
      </c>
      <c r="K177">
        <v>2</v>
      </c>
      <c r="L177" t="s">
        <v>1057</v>
      </c>
      <c r="M177">
        <v>9</v>
      </c>
    </row>
    <row r="178" spans="1:13" x14ac:dyDescent="0.25">
      <c r="A178" t="s">
        <v>805</v>
      </c>
      <c r="B178" t="s">
        <v>19</v>
      </c>
      <c r="C178">
        <v>82</v>
      </c>
      <c r="D178" t="s">
        <v>9</v>
      </c>
      <c r="E178" s="26">
        <v>45200</v>
      </c>
      <c r="F178">
        <v>99</v>
      </c>
      <c r="G178">
        <v>4.2</v>
      </c>
      <c r="H178">
        <v>2024</v>
      </c>
      <c r="I178" t="s">
        <v>1074</v>
      </c>
      <c r="J178" t="s">
        <v>1075</v>
      </c>
      <c r="K178">
        <v>4</v>
      </c>
      <c r="L178" t="s">
        <v>1058</v>
      </c>
      <c r="M178">
        <v>10</v>
      </c>
    </row>
    <row r="179" spans="1:13" x14ac:dyDescent="0.25">
      <c r="A179" t="s">
        <v>817</v>
      </c>
      <c r="B179" t="s">
        <v>15</v>
      </c>
      <c r="C179">
        <v>82</v>
      </c>
      <c r="D179" t="s">
        <v>9</v>
      </c>
      <c r="E179" s="26">
        <v>45202</v>
      </c>
      <c r="F179">
        <v>130</v>
      </c>
      <c r="G179">
        <v>4.4000000000000004</v>
      </c>
      <c r="H179">
        <v>2024</v>
      </c>
      <c r="I179" t="s">
        <v>1076</v>
      </c>
      <c r="J179" t="s">
        <v>1075</v>
      </c>
      <c r="K179">
        <v>4</v>
      </c>
      <c r="L179" t="s">
        <v>1058</v>
      </c>
      <c r="M179">
        <v>10</v>
      </c>
    </row>
    <row r="180" spans="1:13" x14ac:dyDescent="0.25">
      <c r="A180" t="s">
        <v>822</v>
      </c>
      <c r="B180" t="s">
        <v>18</v>
      </c>
      <c r="C180">
        <v>88</v>
      </c>
      <c r="D180" t="s">
        <v>9</v>
      </c>
      <c r="E180" s="26">
        <v>45204</v>
      </c>
      <c r="F180">
        <v>100</v>
      </c>
      <c r="G180">
        <v>4.9000000000000004</v>
      </c>
      <c r="H180">
        <v>2024</v>
      </c>
      <c r="I180" t="s">
        <v>1080</v>
      </c>
      <c r="J180" t="s">
        <v>1075</v>
      </c>
      <c r="K180">
        <v>5</v>
      </c>
      <c r="L180" t="s">
        <v>1058</v>
      </c>
      <c r="M180">
        <v>10</v>
      </c>
    </row>
    <row r="181" spans="1:13" x14ac:dyDescent="0.25">
      <c r="A181" t="s">
        <v>838</v>
      </c>
      <c r="B181" t="s">
        <v>22</v>
      </c>
      <c r="C181">
        <v>41</v>
      </c>
      <c r="D181" t="s">
        <v>9</v>
      </c>
      <c r="E181" s="26">
        <v>45209</v>
      </c>
      <c r="F181">
        <v>42</v>
      </c>
      <c r="G181">
        <v>3.8</v>
      </c>
      <c r="H181">
        <v>2024</v>
      </c>
      <c r="I181" t="s">
        <v>1076</v>
      </c>
      <c r="J181" t="s">
        <v>1077</v>
      </c>
      <c r="K181">
        <v>4</v>
      </c>
      <c r="L181" t="s">
        <v>1058</v>
      </c>
      <c r="M181">
        <v>10</v>
      </c>
    </row>
    <row r="182" spans="1:13" x14ac:dyDescent="0.25">
      <c r="A182" t="s">
        <v>843</v>
      </c>
      <c r="B182" t="s">
        <v>19</v>
      </c>
      <c r="C182">
        <v>90</v>
      </c>
      <c r="D182" t="s">
        <v>9</v>
      </c>
      <c r="E182" s="26">
        <v>45209</v>
      </c>
      <c r="F182">
        <v>48</v>
      </c>
      <c r="G182">
        <v>4.7</v>
      </c>
      <c r="H182">
        <v>2024</v>
      </c>
      <c r="I182" t="s">
        <v>1076</v>
      </c>
      <c r="J182" t="s">
        <v>1075</v>
      </c>
      <c r="K182">
        <v>5</v>
      </c>
      <c r="L182" t="s">
        <v>1058</v>
      </c>
      <c r="M182">
        <v>10</v>
      </c>
    </row>
    <row r="183" spans="1:13" x14ac:dyDescent="0.25">
      <c r="A183" t="s">
        <v>844</v>
      </c>
      <c r="B183" t="s">
        <v>18</v>
      </c>
      <c r="C183">
        <v>55</v>
      </c>
      <c r="D183" t="s">
        <v>9</v>
      </c>
      <c r="E183" s="26">
        <v>45209</v>
      </c>
      <c r="F183">
        <v>25</v>
      </c>
      <c r="G183">
        <v>4.7</v>
      </c>
      <c r="H183">
        <v>2024</v>
      </c>
      <c r="I183" t="s">
        <v>1076</v>
      </c>
      <c r="J183" t="s">
        <v>1077</v>
      </c>
      <c r="K183">
        <v>5</v>
      </c>
      <c r="L183" t="s">
        <v>1058</v>
      </c>
      <c r="M183">
        <v>10</v>
      </c>
    </row>
    <row r="184" spans="1:13" x14ac:dyDescent="0.25">
      <c r="A184" t="s">
        <v>848</v>
      </c>
      <c r="B184" t="s">
        <v>20</v>
      </c>
      <c r="C184">
        <v>120</v>
      </c>
      <c r="D184" t="s">
        <v>9</v>
      </c>
      <c r="E184" s="26">
        <v>45211</v>
      </c>
      <c r="F184">
        <v>140</v>
      </c>
      <c r="G184">
        <v>4.5999999999999996</v>
      </c>
      <c r="H184">
        <v>2024</v>
      </c>
      <c r="I184" t="s">
        <v>1080</v>
      </c>
      <c r="J184" t="s">
        <v>1075</v>
      </c>
      <c r="K184">
        <v>5</v>
      </c>
      <c r="L184" t="s">
        <v>1058</v>
      </c>
      <c r="M184">
        <v>10</v>
      </c>
    </row>
    <row r="185" spans="1:13" x14ac:dyDescent="0.25">
      <c r="A185" t="s">
        <v>851</v>
      </c>
      <c r="B185" t="s">
        <v>23</v>
      </c>
      <c r="C185">
        <v>139</v>
      </c>
      <c r="D185" t="s">
        <v>9</v>
      </c>
      <c r="E185" s="26">
        <v>45212</v>
      </c>
      <c r="F185">
        <v>48</v>
      </c>
      <c r="G185">
        <v>4.7</v>
      </c>
      <c r="H185">
        <v>2024</v>
      </c>
      <c r="I185" t="s">
        <v>1083</v>
      </c>
      <c r="J185" t="s">
        <v>1079</v>
      </c>
      <c r="K185">
        <v>5</v>
      </c>
      <c r="L185" t="s">
        <v>1058</v>
      </c>
      <c r="M185">
        <v>10</v>
      </c>
    </row>
    <row r="186" spans="1:13" x14ac:dyDescent="0.25">
      <c r="A186" t="s">
        <v>859</v>
      </c>
      <c r="B186" t="s">
        <v>12</v>
      </c>
      <c r="C186">
        <v>56</v>
      </c>
      <c r="D186" t="s">
        <v>9</v>
      </c>
      <c r="E186" s="26">
        <v>45214</v>
      </c>
      <c r="F186">
        <v>225</v>
      </c>
      <c r="G186">
        <v>4.9000000000000004</v>
      </c>
      <c r="H186">
        <v>2024</v>
      </c>
      <c r="I186" t="s">
        <v>1074</v>
      </c>
      <c r="J186" t="s">
        <v>1077</v>
      </c>
      <c r="K186">
        <v>5</v>
      </c>
      <c r="L186" t="s">
        <v>1058</v>
      </c>
      <c r="M186">
        <v>10</v>
      </c>
    </row>
    <row r="187" spans="1:13" x14ac:dyDescent="0.25">
      <c r="A187" t="s">
        <v>862</v>
      </c>
      <c r="B187" t="s">
        <v>15</v>
      </c>
      <c r="C187">
        <v>77</v>
      </c>
      <c r="D187" t="s">
        <v>9</v>
      </c>
      <c r="E187" s="26">
        <v>45214</v>
      </c>
      <c r="F187">
        <v>78</v>
      </c>
      <c r="G187">
        <v>3.9</v>
      </c>
      <c r="H187">
        <v>2024</v>
      </c>
      <c r="I187" t="s">
        <v>1074</v>
      </c>
      <c r="J187" t="s">
        <v>1075</v>
      </c>
      <c r="K187">
        <v>4</v>
      </c>
      <c r="L187" t="s">
        <v>1058</v>
      </c>
      <c r="M187">
        <v>10</v>
      </c>
    </row>
    <row r="188" spans="1:13" x14ac:dyDescent="0.25">
      <c r="A188" t="s">
        <v>864</v>
      </c>
      <c r="B188" t="s">
        <v>15</v>
      </c>
      <c r="C188">
        <v>77</v>
      </c>
      <c r="D188" t="s">
        <v>9</v>
      </c>
      <c r="E188" s="26">
        <v>45215</v>
      </c>
      <c r="F188">
        <v>176</v>
      </c>
      <c r="G188">
        <v>1.5</v>
      </c>
      <c r="H188">
        <v>2024</v>
      </c>
      <c r="I188" t="s">
        <v>1082</v>
      </c>
      <c r="J188" t="s">
        <v>1075</v>
      </c>
      <c r="K188">
        <v>2</v>
      </c>
      <c r="L188" t="s">
        <v>1058</v>
      </c>
      <c r="M188">
        <v>10</v>
      </c>
    </row>
    <row r="189" spans="1:13" x14ac:dyDescent="0.25">
      <c r="A189" t="s">
        <v>866</v>
      </c>
      <c r="B189" t="s">
        <v>5</v>
      </c>
      <c r="C189">
        <v>32</v>
      </c>
      <c r="D189" t="s">
        <v>9</v>
      </c>
      <c r="E189" s="26">
        <v>45215</v>
      </c>
      <c r="F189">
        <v>42</v>
      </c>
      <c r="G189">
        <v>4.2</v>
      </c>
      <c r="H189">
        <v>2024</v>
      </c>
      <c r="I189" t="s">
        <v>1082</v>
      </c>
      <c r="J189" t="s">
        <v>1077</v>
      </c>
      <c r="K189">
        <v>4</v>
      </c>
      <c r="L189" t="s">
        <v>1058</v>
      </c>
      <c r="M189">
        <v>10</v>
      </c>
    </row>
    <row r="190" spans="1:13" x14ac:dyDescent="0.25">
      <c r="A190" t="s">
        <v>875</v>
      </c>
      <c r="B190" t="s">
        <v>20</v>
      </c>
      <c r="C190">
        <v>133</v>
      </c>
      <c r="D190" t="s">
        <v>9</v>
      </c>
      <c r="E190" s="26">
        <v>45217</v>
      </c>
      <c r="F190">
        <v>117</v>
      </c>
      <c r="G190">
        <v>4.8</v>
      </c>
      <c r="H190">
        <v>2024</v>
      </c>
      <c r="I190" t="s">
        <v>1078</v>
      </c>
      <c r="J190" t="s">
        <v>1079</v>
      </c>
      <c r="K190">
        <v>5</v>
      </c>
      <c r="L190" t="s">
        <v>1058</v>
      </c>
      <c r="M190">
        <v>10</v>
      </c>
    </row>
    <row r="191" spans="1:13" x14ac:dyDescent="0.25">
      <c r="A191" t="s">
        <v>878</v>
      </c>
      <c r="B191" t="s">
        <v>19</v>
      </c>
      <c r="C191">
        <v>43</v>
      </c>
      <c r="D191" t="s">
        <v>9</v>
      </c>
      <c r="E191" s="26">
        <v>45218</v>
      </c>
      <c r="F191">
        <v>84</v>
      </c>
      <c r="G191">
        <v>3.6</v>
      </c>
      <c r="H191">
        <v>2024</v>
      </c>
      <c r="I191" t="s">
        <v>1080</v>
      </c>
      <c r="J191" t="s">
        <v>1077</v>
      </c>
      <c r="K191">
        <v>4</v>
      </c>
      <c r="L191" t="s">
        <v>1058</v>
      </c>
      <c r="M191">
        <v>10</v>
      </c>
    </row>
    <row r="192" spans="1:13" x14ac:dyDescent="0.25">
      <c r="A192" t="s">
        <v>887</v>
      </c>
      <c r="B192" t="s">
        <v>12</v>
      </c>
      <c r="C192">
        <v>81</v>
      </c>
      <c r="D192" t="s">
        <v>9</v>
      </c>
      <c r="E192" s="26">
        <v>45221</v>
      </c>
      <c r="F192">
        <v>117</v>
      </c>
      <c r="G192">
        <v>3.6</v>
      </c>
      <c r="H192">
        <v>2024</v>
      </c>
      <c r="I192" t="s">
        <v>1074</v>
      </c>
      <c r="J192" t="s">
        <v>1075</v>
      </c>
      <c r="K192">
        <v>4</v>
      </c>
      <c r="L192" t="s">
        <v>1058</v>
      </c>
      <c r="M192">
        <v>10</v>
      </c>
    </row>
    <row r="193" spans="1:13" x14ac:dyDescent="0.25">
      <c r="A193" t="s">
        <v>893</v>
      </c>
      <c r="B193" t="s">
        <v>21</v>
      </c>
      <c r="C193">
        <v>73</v>
      </c>
      <c r="D193" t="s">
        <v>9</v>
      </c>
      <c r="E193" s="26">
        <v>45223</v>
      </c>
      <c r="F193">
        <v>180</v>
      </c>
      <c r="G193">
        <v>3.6</v>
      </c>
      <c r="H193">
        <v>2024</v>
      </c>
      <c r="I193" t="s">
        <v>1076</v>
      </c>
      <c r="J193" t="s">
        <v>1075</v>
      </c>
      <c r="K193">
        <v>4</v>
      </c>
      <c r="L193" t="s">
        <v>1058</v>
      </c>
      <c r="M193">
        <v>10</v>
      </c>
    </row>
    <row r="194" spans="1:13" x14ac:dyDescent="0.25">
      <c r="A194" t="s">
        <v>894</v>
      </c>
      <c r="B194" t="s">
        <v>17</v>
      </c>
      <c r="C194">
        <v>87</v>
      </c>
      <c r="D194" t="s">
        <v>9</v>
      </c>
      <c r="E194" s="26">
        <v>45223</v>
      </c>
      <c r="F194">
        <v>42</v>
      </c>
      <c r="G194">
        <v>3.6</v>
      </c>
      <c r="H194">
        <v>2024</v>
      </c>
      <c r="I194" t="s">
        <v>1076</v>
      </c>
      <c r="J194" t="s">
        <v>1075</v>
      </c>
      <c r="K194">
        <v>4</v>
      </c>
      <c r="L194" t="s">
        <v>1058</v>
      </c>
      <c r="M194">
        <v>10</v>
      </c>
    </row>
    <row r="195" spans="1:13" x14ac:dyDescent="0.25">
      <c r="A195" t="s">
        <v>895</v>
      </c>
      <c r="B195" t="s">
        <v>17</v>
      </c>
      <c r="C195">
        <v>68</v>
      </c>
      <c r="D195" t="s">
        <v>9</v>
      </c>
      <c r="E195" s="26">
        <v>45224</v>
      </c>
      <c r="F195">
        <v>24</v>
      </c>
      <c r="G195">
        <v>4</v>
      </c>
      <c r="H195">
        <v>2024</v>
      </c>
      <c r="I195" t="s">
        <v>1078</v>
      </c>
      <c r="J195" t="s">
        <v>1075</v>
      </c>
      <c r="K195">
        <v>4</v>
      </c>
      <c r="L195" t="s">
        <v>1058</v>
      </c>
      <c r="M195">
        <v>10</v>
      </c>
    </row>
    <row r="196" spans="1:13" x14ac:dyDescent="0.25">
      <c r="A196" t="s">
        <v>896</v>
      </c>
      <c r="B196" t="s">
        <v>16</v>
      </c>
      <c r="C196">
        <v>101</v>
      </c>
      <c r="D196" t="s">
        <v>9</v>
      </c>
      <c r="E196" s="26">
        <v>45224</v>
      </c>
      <c r="F196">
        <v>125</v>
      </c>
      <c r="G196">
        <v>4.2</v>
      </c>
      <c r="H196">
        <v>2024</v>
      </c>
      <c r="I196" t="s">
        <v>1078</v>
      </c>
      <c r="J196" t="s">
        <v>1075</v>
      </c>
      <c r="K196">
        <v>4</v>
      </c>
      <c r="L196" t="s">
        <v>1058</v>
      </c>
      <c r="M196">
        <v>10</v>
      </c>
    </row>
    <row r="197" spans="1:13" x14ac:dyDescent="0.25">
      <c r="A197" t="s">
        <v>909</v>
      </c>
      <c r="B197" t="s">
        <v>18</v>
      </c>
      <c r="C197">
        <v>110</v>
      </c>
      <c r="D197" t="s">
        <v>9</v>
      </c>
      <c r="E197" s="26">
        <v>45228</v>
      </c>
      <c r="F197">
        <v>88</v>
      </c>
      <c r="G197">
        <v>3.4</v>
      </c>
      <c r="H197">
        <v>2024</v>
      </c>
      <c r="I197" t="s">
        <v>1074</v>
      </c>
      <c r="J197" t="s">
        <v>1075</v>
      </c>
      <c r="K197">
        <v>3</v>
      </c>
      <c r="L197" t="s">
        <v>1058</v>
      </c>
      <c r="M197">
        <v>10</v>
      </c>
    </row>
    <row r="198" spans="1:13" x14ac:dyDescent="0.25">
      <c r="A198" t="s">
        <v>911</v>
      </c>
      <c r="B198" t="s">
        <v>18</v>
      </c>
      <c r="C198">
        <v>147</v>
      </c>
      <c r="D198" t="s">
        <v>9</v>
      </c>
      <c r="E198" s="26">
        <v>45228</v>
      </c>
      <c r="F198">
        <v>68</v>
      </c>
      <c r="G198">
        <v>2.1</v>
      </c>
      <c r="H198">
        <v>2024</v>
      </c>
      <c r="I198" t="s">
        <v>1074</v>
      </c>
      <c r="J198" t="s">
        <v>1079</v>
      </c>
      <c r="K198">
        <v>2</v>
      </c>
      <c r="L198" t="s">
        <v>1058</v>
      </c>
      <c r="M198">
        <v>10</v>
      </c>
    </row>
    <row r="199" spans="1:13" x14ac:dyDescent="0.25">
      <c r="A199" t="s">
        <v>917</v>
      </c>
      <c r="B199" t="s">
        <v>5</v>
      </c>
      <c r="C199">
        <v>62</v>
      </c>
      <c r="D199" t="s">
        <v>9</v>
      </c>
      <c r="E199" s="26">
        <v>45231</v>
      </c>
      <c r="F199">
        <v>78</v>
      </c>
      <c r="G199">
        <v>3.5</v>
      </c>
      <c r="H199">
        <v>2024</v>
      </c>
      <c r="I199" t="s">
        <v>1078</v>
      </c>
      <c r="J199" t="s">
        <v>1075</v>
      </c>
      <c r="K199">
        <v>4</v>
      </c>
      <c r="L199" t="s">
        <v>1059</v>
      </c>
      <c r="M199">
        <v>11</v>
      </c>
    </row>
    <row r="200" spans="1:13" x14ac:dyDescent="0.25">
      <c r="A200" t="s">
        <v>922</v>
      </c>
      <c r="B200" t="s">
        <v>15</v>
      </c>
      <c r="C200">
        <v>52</v>
      </c>
      <c r="D200" t="s">
        <v>9</v>
      </c>
      <c r="E200" s="26">
        <v>45236</v>
      </c>
      <c r="F200">
        <v>220</v>
      </c>
      <c r="G200">
        <v>5</v>
      </c>
      <c r="H200">
        <v>2024</v>
      </c>
      <c r="I200" t="s">
        <v>1082</v>
      </c>
      <c r="J200" t="s">
        <v>1077</v>
      </c>
      <c r="K200">
        <v>5</v>
      </c>
      <c r="L200" t="s">
        <v>1059</v>
      </c>
      <c r="M200">
        <v>11</v>
      </c>
    </row>
    <row r="201" spans="1:13" x14ac:dyDescent="0.25">
      <c r="A201" t="s">
        <v>927</v>
      </c>
      <c r="B201" t="s">
        <v>23</v>
      </c>
      <c r="C201">
        <v>56</v>
      </c>
      <c r="D201" t="s">
        <v>9</v>
      </c>
      <c r="E201" s="26">
        <v>45238</v>
      </c>
      <c r="F201">
        <v>124</v>
      </c>
      <c r="G201">
        <v>2.6</v>
      </c>
      <c r="H201">
        <v>2024</v>
      </c>
      <c r="I201" t="s">
        <v>1078</v>
      </c>
      <c r="J201" t="s">
        <v>1077</v>
      </c>
      <c r="K201">
        <v>3</v>
      </c>
      <c r="L201" t="s">
        <v>1059</v>
      </c>
      <c r="M201">
        <v>11</v>
      </c>
    </row>
    <row r="202" spans="1:13" x14ac:dyDescent="0.25">
      <c r="A202" t="s">
        <v>931</v>
      </c>
      <c r="B202" t="s">
        <v>21</v>
      </c>
      <c r="C202">
        <v>110</v>
      </c>
      <c r="D202" t="s">
        <v>9</v>
      </c>
      <c r="E202" s="26">
        <v>45240</v>
      </c>
      <c r="F202">
        <v>132</v>
      </c>
      <c r="G202">
        <v>3.6</v>
      </c>
      <c r="H202">
        <v>2024</v>
      </c>
      <c r="I202" t="s">
        <v>1083</v>
      </c>
      <c r="J202" t="s">
        <v>1075</v>
      </c>
      <c r="K202">
        <v>4</v>
      </c>
      <c r="L202" t="s">
        <v>1059</v>
      </c>
      <c r="M202">
        <v>11</v>
      </c>
    </row>
    <row r="203" spans="1:13" x14ac:dyDescent="0.25">
      <c r="A203" t="s">
        <v>933</v>
      </c>
      <c r="B203" t="s">
        <v>20</v>
      </c>
      <c r="C203">
        <v>95</v>
      </c>
      <c r="D203" t="s">
        <v>9</v>
      </c>
      <c r="E203" s="26">
        <v>45240</v>
      </c>
      <c r="F203">
        <v>140</v>
      </c>
      <c r="G203">
        <v>3.9</v>
      </c>
      <c r="H203">
        <v>2024</v>
      </c>
      <c r="I203" t="s">
        <v>1083</v>
      </c>
      <c r="J203" t="s">
        <v>1075</v>
      </c>
      <c r="K203">
        <v>4</v>
      </c>
      <c r="L203" t="s">
        <v>1059</v>
      </c>
      <c r="M203">
        <v>11</v>
      </c>
    </row>
    <row r="204" spans="1:13" x14ac:dyDescent="0.25">
      <c r="A204" t="s">
        <v>941</v>
      </c>
      <c r="B204" t="s">
        <v>18</v>
      </c>
      <c r="C204">
        <v>149</v>
      </c>
      <c r="D204" t="s">
        <v>9</v>
      </c>
      <c r="E204" s="26">
        <v>45244</v>
      </c>
      <c r="F204">
        <v>44</v>
      </c>
      <c r="G204">
        <v>2.2000000000000002</v>
      </c>
      <c r="H204">
        <v>2024</v>
      </c>
      <c r="I204" t="s">
        <v>1076</v>
      </c>
      <c r="J204" t="s">
        <v>1079</v>
      </c>
      <c r="K204">
        <v>2</v>
      </c>
      <c r="L204" t="s">
        <v>1059</v>
      </c>
      <c r="M204">
        <v>11</v>
      </c>
    </row>
    <row r="205" spans="1:13" x14ac:dyDescent="0.25">
      <c r="A205" t="s">
        <v>943</v>
      </c>
      <c r="B205" t="s">
        <v>14</v>
      </c>
      <c r="C205">
        <v>113</v>
      </c>
      <c r="D205" t="s">
        <v>9</v>
      </c>
      <c r="E205" s="26">
        <v>45245</v>
      </c>
      <c r="F205">
        <v>34</v>
      </c>
      <c r="G205">
        <v>3.9</v>
      </c>
      <c r="H205">
        <v>2024</v>
      </c>
      <c r="I205" t="s">
        <v>1078</v>
      </c>
      <c r="J205" t="s">
        <v>1075</v>
      </c>
      <c r="K205">
        <v>4</v>
      </c>
      <c r="L205" t="s">
        <v>1059</v>
      </c>
      <c r="M205">
        <v>11</v>
      </c>
    </row>
    <row r="206" spans="1:13" x14ac:dyDescent="0.25">
      <c r="A206" t="s">
        <v>947</v>
      </c>
      <c r="B206" t="s">
        <v>16</v>
      </c>
      <c r="C206">
        <v>63</v>
      </c>
      <c r="D206" t="s">
        <v>9</v>
      </c>
      <c r="E206" s="26">
        <v>45246</v>
      </c>
      <c r="F206">
        <v>44</v>
      </c>
      <c r="G206">
        <v>5</v>
      </c>
      <c r="H206">
        <v>2024</v>
      </c>
      <c r="I206" t="s">
        <v>1080</v>
      </c>
      <c r="J206" t="s">
        <v>1075</v>
      </c>
      <c r="K206">
        <v>5</v>
      </c>
      <c r="L206" t="s">
        <v>1059</v>
      </c>
      <c r="M206">
        <v>11</v>
      </c>
    </row>
    <row r="207" spans="1:13" x14ac:dyDescent="0.25">
      <c r="A207" t="s">
        <v>948</v>
      </c>
      <c r="B207" t="s">
        <v>15</v>
      </c>
      <c r="C207">
        <v>54</v>
      </c>
      <c r="D207" t="s">
        <v>9</v>
      </c>
      <c r="E207" s="26">
        <v>45247</v>
      </c>
      <c r="F207">
        <v>35</v>
      </c>
      <c r="G207">
        <v>2.8</v>
      </c>
      <c r="H207">
        <v>2024</v>
      </c>
      <c r="I207" t="s">
        <v>1083</v>
      </c>
      <c r="J207" t="s">
        <v>1077</v>
      </c>
      <c r="K207">
        <v>3</v>
      </c>
      <c r="L207" t="s">
        <v>1059</v>
      </c>
      <c r="M207">
        <v>11</v>
      </c>
    </row>
    <row r="208" spans="1:13" x14ac:dyDescent="0.25">
      <c r="A208" t="s">
        <v>952</v>
      </c>
      <c r="B208" t="s">
        <v>21</v>
      </c>
      <c r="C208">
        <v>96</v>
      </c>
      <c r="D208" t="s">
        <v>9</v>
      </c>
      <c r="E208" s="26">
        <v>45248</v>
      </c>
      <c r="F208">
        <v>215</v>
      </c>
      <c r="G208">
        <v>2.5</v>
      </c>
      <c r="H208">
        <v>2024</v>
      </c>
      <c r="I208" t="s">
        <v>1081</v>
      </c>
      <c r="J208" t="s">
        <v>1075</v>
      </c>
      <c r="K208">
        <v>3</v>
      </c>
      <c r="L208" t="s">
        <v>1059</v>
      </c>
      <c r="M208">
        <v>11</v>
      </c>
    </row>
    <row r="209" spans="1:13" x14ac:dyDescent="0.25">
      <c r="A209" t="s">
        <v>957</v>
      </c>
      <c r="B209" t="s">
        <v>8</v>
      </c>
      <c r="C209">
        <v>26</v>
      </c>
      <c r="D209" t="s">
        <v>9</v>
      </c>
      <c r="E209" s="26">
        <v>45251</v>
      </c>
      <c r="F209">
        <v>74</v>
      </c>
      <c r="G209">
        <v>4.0999999999999996</v>
      </c>
      <c r="H209">
        <v>2024</v>
      </c>
      <c r="I209" t="s">
        <v>1076</v>
      </c>
      <c r="J209" t="s">
        <v>1084</v>
      </c>
      <c r="K209">
        <v>4</v>
      </c>
      <c r="L209" t="s">
        <v>1059</v>
      </c>
      <c r="M209">
        <v>11</v>
      </c>
    </row>
    <row r="210" spans="1:13" x14ac:dyDescent="0.25">
      <c r="A210" t="s">
        <v>961</v>
      </c>
      <c r="B210" t="s">
        <v>21</v>
      </c>
      <c r="C210">
        <v>102</v>
      </c>
      <c r="D210" t="s">
        <v>9</v>
      </c>
      <c r="E210" s="26">
        <v>45254</v>
      </c>
      <c r="F210">
        <v>104</v>
      </c>
      <c r="G210">
        <v>4.5</v>
      </c>
      <c r="H210">
        <v>2024</v>
      </c>
      <c r="I210" t="s">
        <v>1083</v>
      </c>
      <c r="J210" t="s">
        <v>1075</v>
      </c>
      <c r="K210">
        <v>5</v>
      </c>
      <c r="L210" t="s">
        <v>1059</v>
      </c>
      <c r="M210">
        <v>11</v>
      </c>
    </row>
    <row r="211" spans="1:13" x14ac:dyDescent="0.25">
      <c r="A211" t="s">
        <v>967</v>
      </c>
      <c r="B211" t="s">
        <v>22</v>
      </c>
      <c r="C211">
        <v>83</v>
      </c>
      <c r="D211" t="s">
        <v>9</v>
      </c>
      <c r="E211" s="26">
        <v>45257</v>
      </c>
      <c r="F211">
        <v>126</v>
      </c>
      <c r="G211">
        <v>1.5</v>
      </c>
      <c r="H211">
        <v>2024</v>
      </c>
      <c r="I211" t="s">
        <v>1082</v>
      </c>
      <c r="J211" t="s">
        <v>1075</v>
      </c>
      <c r="K211">
        <v>2</v>
      </c>
      <c r="L211" t="s">
        <v>1059</v>
      </c>
      <c r="M211">
        <v>11</v>
      </c>
    </row>
    <row r="212" spans="1:13" x14ac:dyDescent="0.25">
      <c r="A212" t="s">
        <v>969</v>
      </c>
      <c r="B212" t="s">
        <v>22</v>
      </c>
      <c r="C212">
        <v>152</v>
      </c>
      <c r="D212" t="s">
        <v>9</v>
      </c>
      <c r="E212" s="26">
        <v>45258</v>
      </c>
      <c r="F212">
        <v>125</v>
      </c>
      <c r="G212">
        <v>3.9</v>
      </c>
      <c r="H212">
        <v>2024</v>
      </c>
      <c r="I212" t="s">
        <v>1076</v>
      </c>
      <c r="J212" t="s">
        <v>1079</v>
      </c>
      <c r="K212">
        <v>4</v>
      </c>
      <c r="L212" t="s">
        <v>1059</v>
      </c>
      <c r="M212">
        <v>11</v>
      </c>
    </row>
    <row r="213" spans="1:13" x14ac:dyDescent="0.25">
      <c r="A213" t="s">
        <v>977</v>
      </c>
      <c r="B213" t="s">
        <v>21</v>
      </c>
      <c r="C213">
        <v>102</v>
      </c>
      <c r="D213" t="s">
        <v>9</v>
      </c>
      <c r="E213" s="26">
        <v>45262</v>
      </c>
      <c r="F213">
        <v>72</v>
      </c>
      <c r="G213">
        <v>3.7</v>
      </c>
      <c r="H213">
        <v>2024</v>
      </c>
      <c r="I213" t="s">
        <v>1081</v>
      </c>
      <c r="J213" t="s">
        <v>1075</v>
      </c>
      <c r="K213">
        <v>4</v>
      </c>
      <c r="L213" t="s">
        <v>1060</v>
      </c>
      <c r="M213">
        <v>12</v>
      </c>
    </row>
    <row r="214" spans="1:13" x14ac:dyDescent="0.25">
      <c r="A214" t="s">
        <v>979</v>
      </c>
      <c r="B214" t="s">
        <v>12</v>
      </c>
      <c r="C214">
        <v>149</v>
      </c>
      <c r="D214" t="s">
        <v>9</v>
      </c>
      <c r="E214" s="26">
        <v>45263</v>
      </c>
      <c r="F214">
        <v>42</v>
      </c>
      <c r="G214">
        <v>3.3</v>
      </c>
      <c r="H214">
        <v>2024</v>
      </c>
      <c r="I214" t="s">
        <v>1074</v>
      </c>
      <c r="J214" t="s">
        <v>1079</v>
      </c>
      <c r="K214">
        <v>3</v>
      </c>
      <c r="L214" t="s">
        <v>1060</v>
      </c>
      <c r="M214">
        <v>12</v>
      </c>
    </row>
    <row r="215" spans="1:13" x14ac:dyDescent="0.25">
      <c r="A215" t="s">
        <v>985</v>
      </c>
      <c r="B215" t="s">
        <v>18</v>
      </c>
      <c r="C215">
        <v>25</v>
      </c>
      <c r="D215" t="s">
        <v>9</v>
      </c>
      <c r="E215" s="26">
        <v>45268</v>
      </c>
      <c r="F215">
        <v>93</v>
      </c>
      <c r="G215">
        <v>3.5</v>
      </c>
      <c r="H215">
        <v>2024</v>
      </c>
      <c r="I215" t="s">
        <v>1083</v>
      </c>
      <c r="J215" t="s">
        <v>1084</v>
      </c>
      <c r="K215">
        <v>4</v>
      </c>
      <c r="L215" t="s">
        <v>1060</v>
      </c>
      <c r="M215">
        <v>12</v>
      </c>
    </row>
    <row r="216" spans="1:13" x14ac:dyDescent="0.25">
      <c r="A216" t="s">
        <v>987</v>
      </c>
      <c r="B216" t="s">
        <v>18</v>
      </c>
      <c r="C216">
        <v>103</v>
      </c>
      <c r="D216" t="s">
        <v>9</v>
      </c>
      <c r="E216" s="26">
        <v>45269</v>
      </c>
      <c r="F216">
        <v>72</v>
      </c>
      <c r="G216">
        <v>3.4</v>
      </c>
      <c r="H216">
        <v>2024</v>
      </c>
      <c r="I216" t="s">
        <v>1081</v>
      </c>
      <c r="J216" t="s">
        <v>1075</v>
      </c>
      <c r="K216">
        <v>3</v>
      </c>
      <c r="L216" t="s">
        <v>1060</v>
      </c>
      <c r="M216">
        <v>12</v>
      </c>
    </row>
    <row r="217" spans="1:13" x14ac:dyDescent="0.25">
      <c r="A217" t="s">
        <v>990</v>
      </c>
      <c r="B217" t="s">
        <v>23</v>
      </c>
      <c r="C217">
        <v>94</v>
      </c>
      <c r="D217" t="s">
        <v>9</v>
      </c>
      <c r="E217" s="26">
        <v>45273</v>
      </c>
      <c r="F217">
        <v>78</v>
      </c>
      <c r="G217">
        <v>3.3</v>
      </c>
      <c r="H217">
        <v>2024</v>
      </c>
      <c r="I217" t="s">
        <v>1078</v>
      </c>
      <c r="J217" t="s">
        <v>1075</v>
      </c>
      <c r="K217">
        <v>3</v>
      </c>
      <c r="L217" t="s">
        <v>1060</v>
      </c>
      <c r="M217">
        <v>12</v>
      </c>
    </row>
    <row r="218" spans="1:13" x14ac:dyDescent="0.25">
      <c r="A218" t="s">
        <v>1004</v>
      </c>
      <c r="B218" t="s">
        <v>17</v>
      </c>
      <c r="C218">
        <v>151</v>
      </c>
      <c r="D218" t="s">
        <v>9</v>
      </c>
      <c r="E218" s="26">
        <v>45275</v>
      </c>
      <c r="F218">
        <v>117</v>
      </c>
      <c r="G218">
        <v>2</v>
      </c>
      <c r="H218">
        <v>2024</v>
      </c>
      <c r="I218" t="s">
        <v>1083</v>
      </c>
      <c r="J218" t="s">
        <v>1079</v>
      </c>
      <c r="K218">
        <v>2</v>
      </c>
      <c r="L218" t="s">
        <v>1060</v>
      </c>
      <c r="M218">
        <v>12</v>
      </c>
    </row>
    <row r="219" spans="1:13" x14ac:dyDescent="0.25">
      <c r="A219" t="s">
        <v>1015</v>
      </c>
      <c r="B219" t="s">
        <v>15</v>
      </c>
      <c r="C219">
        <v>76</v>
      </c>
      <c r="D219" t="s">
        <v>9</v>
      </c>
      <c r="E219" s="26">
        <v>45281</v>
      </c>
      <c r="F219">
        <v>82</v>
      </c>
      <c r="G219">
        <v>2.1</v>
      </c>
      <c r="H219">
        <v>2024</v>
      </c>
      <c r="I219" t="s">
        <v>1080</v>
      </c>
      <c r="J219" t="s">
        <v>1075</v>
      </c>
      <c r="K219">
        <v>2</v>
      </c>
      <c r="L219" t="s">
        <v>1060</v>
      </c>
      <c r="M219">
        <v>12</v>
      </c>
    </row>
    <row r="220" spans="1:13" x14ac:dyDescent="0.25">
      <c r="A220" t="s">
        <v>1021</v>
      </c>
      <c r="B220" t="s">
        <v>20</v>
      </c>
      <c r="C220">
        <v>90</v>
      </c>
      <c r="D220" t="s">
        <v>9</v>
      </c>
      <c r="E220" s="26">
        <v>45286</v>
      </c>
      <c r="F220">
        <v>176</v>
      </c>
      <c r="G220">
        <v>3.6</v>
      </c>
      <c r="H220">
        <v>2024</v>
      </c>
      <c r="I220" t="s">
        <v>1076</v>
      </c>
      <c r="J220" t="s">
        <v>1075</v>
      </c>
      <c r="K220">
        <v>4</v>
      </c>
      <c r="L220" t="s">
        <v>1060</v>
      </c>
      <c r="M220">
        <v>12</v>
      </c>
    </row>
    <row r="221" spans="1:13" x14ac:dyDescent="0.25">
      <c r="A221" t="s">
        <v>1027</v>
      </c>
      <c r="B221" t="s">
        <v>8</v>
      </c>
      <c r="C221">
        <v>40</v>
      </c>
      <c r="D221" t="s">
        <v>9</v>
      </c>
      <c r="E221" s="26">
        <v>45289</v>
      </c>
      <c r="F221">
        <v>111</v>
      </c>
      <c r="G221">
        <v>4.5999999999999996</v>
      </c>
      <c r="H221">
        <v>2024</v>
      </c>
      <c r="I221" t="s">
        <v>1083</v>
      </c>
      <c r="J221" t="s">
        <v>1077</v>
      </c>
      <c r="K221">
        <v>5</v>
      </c>
      <c r="L221" t="s">
        <v>1060</v>
      </c>
      <c r="M221">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A8C83-D76E-49C4-B95D-658E6FEE5EF7}">
  <dimension ref="A3:T66"/>
  <sheetViews>
    <sheetView topLeftCell="A44" zoomScale="86" zoomScaleNormal="86" workbookViewId="0">
      <selection activeCell="C66" sqref="C66"/>
    </sheetView>
  </sheetViews>
  <sheetFormatPr defaultRowHeight="15" x14ac:dyDescent="0.25"/>
  <cols>
    <col min="1" max="1" width="13.25" bestFit="1" customWidth="1"/>
    <col min="2" max="2" width="10.75" bestFit="1" customWidth="1"/>
    <col min="3" max="3" width="9.75" bestFit="1" customWidth="1"/>
    <col min="4" max="4" width="10" bestFit="1" customWidth="1"/>
    <col min="5" max="5" width="13.25" bestFit="1" customWidth="1"/>
    <col min="6" max="6" width="9.75" bestFit="1" customWidth="1"/>
    <col min="7" max="7" width="5.25" bestFit="1" customWidth="1"/>
    <col min="8" max="8" width="11.125" bestFit="1" customWidth="1"/>
    <col min="9" max="9" width="12.875" bestFit="1" customWidth="1"/>
    <col min="10" max="10" width="12.25" bestFit="1" customWidth="1"/>
    <col min="11" max="11" width="9.5" bestFit="1" customWidth="1"/>
    <col min="12" max="12" width="13.25" bestFit="1" customWidth="1"/>
    <col min="14" max="14" width="13.25" bestFit="1" customWidth="1"/>
    <col min="15" max="15" width="16.75" bestFit="1" customWidth="1"/>
    <col min="16" max="19" width="6.625" bestFit="1" customWidth="1"/>
    <col min="20" max="20" width="11.125" bestFit="1" customWidth="1"/>
  </cols>
  <sheetData>
    <row r="3" spans="1:6" x14ac:dyDescent="0.25">
      <c r="A3" t="s">
        <v>1042</v>
      </c>
      <c r="B3" t="s">
        <v>1043</v>
      </c>
      <c r="C3" t="s">
        <v>1044</v>
      </c>
      <c r="D3" t="s">
        <v>1045</v>
      </c>
      <c r="E3" t="s">
        <v>1046</v>
      </c>
    </row>
    <row r="4" spans="1:6" x14ac:dyDescent="0.25">
      <c r="A4" s="20">
        <v>1000</v>
      </c>
      <c r="B4" s="21">
        <v>96623</v>
      </c>
      <c r="C4" s="20">
        <v>89850</v>
      </c>
      <c r="D4" s="22">
        <v>3.8854000000000033</v>
      </c>
      <c r="E4" s="23">
        <v>307</v>
      </c>
    </row>
    <row r="10" spans="1:6" x14ac:dyDescent="0.25">
      <c r="A10" t="s">
        <v>1042</v>
      </c>
      <c r="B10" t="s">
        <v>1043</v>
      </c>
      <c r="C10" t="s">
        <v>1044</v>
      </c>
      <c r="D10" t="s">
        <v>1045</v>
      </c>
      <c r="E10" t="s">
        <v>1046</v>
      </c>
    </row>
    <row r="11" spans="1:6" x14ac:dyDescent="0.25">
      <c r="A11" s="20">
        <v>200</v>
      </c>
      <c r="B11" s="21">
        <v>20104</v>
      </c>
      <c r="C11" s="20">
        <v>18209</v>
      </c>
      <c r="D11" s="22">
        <v>3.8824999999999998</v>
      </c>
      <c r="E11" s="23">
        <v>51</v>
      </c>
    </row>
    <row r="15" spans="1:6" x14ac:dyDescent="0.25">
      <c r="A15" s="24" t="s">
        <v>1047</v>
      </c>
      <c r="B15" t="s">
        <v>1087</v>
      </c>
      <c r="C15" t="s">
        <v>1042</v>
      </c>
      <c r="E15" s="24" t="s">
        <v>1047</v>
      </c>
      <c r="F15" t="s">
        <v>1042</v>
      </c>
    </row>
    <row r="16" spans="1:6" x14ac:dyDescent="0.25">
      <c r="A16" s="25" t="s">
        <v>1049</v>
      </c>
      <c r="B16" s="20">
        <v>21</v>
      </c>
      <c r="C16" s="20">
        <v>21</v>
      </c>
      <c r="E16" s="25" t="s">
        <v>1082</v>
      </c>
      <c r="F16" s="20">
        <v>22</v>
      </c>
    </row>
    <row r="17" spans="1:17" x14ac:dyDescent="0.25">
      <c r="A17" s="25" t="s">
        <v>1050</v>
      </c>
      <c r="B17" s="20">
        <v>18</v>
      </c>
      <c r="C17" s="20">
        <v>18</v>
      </c>
      <c r="E17" s="25" t="s">
        <v>1076</v>
      </c>
      <c r="F17" s="20">
        <v>27</v>
      </c>
    </row>
    <row r="18" spans="1:17" x14ac:dyDescent="0.25">
      <c r="A18" s="25" t="s">
        <v>1051</v>
      </c>
      <c r="B18" s="20">
        <v>31</v>
      </c>
      <c r="C18" s="20">
        <v>31</v>
      </c>
      <c r="E18" s="25" t="s">
        <v>1078</v>
      </c>
      <c r="F18" s="20">
        <v>27</v>
      </c>
      <c r="I18" s="24" t="s">
        <v>1047</v>
      </c>
      <c r="J18" t="s">
        <v>1043</v>
      </c>
      <c r="K18" t="s">
        <v>1042</v>
      </c>
    </row>
    <row r="19" spans="1:17" x14ac:dyDescent="0.25">
      <c r="A19" s="25" t="s">
        <v>1052</v>
      </c>
      <c r="B19" s="20">
        <v>20</v>
      </c>
      <c r="C19" s="20">
        <v>20</v>
      </c>
      <c r="E19" s="25" t="s">
        <v>1080</v>
      </c>
      <c r="F19" s="20">
        <v>27</v>
      </c>
      <c r="I19" s="25" t="s">
        <v>11</v>
      </c>
      <c r="J19" s="21">
        <v>18415</v>
      </c>
      <c r="K19" s="20">
        <v>189</v>
      </c>
    </row>
    <row r="20" spans="1:17" x14ac:dyDescent="0.25">
      <c r="A20" s="25" t="s">
        <v>1053</v>
      </c>
      <c r="B20" s="20">
        <v>8</v>
      </c>
      <c r="C20" s="20">
        <v>8</v>
      </c>
      <c r="E20" s="25" t="s">
        <v>1083</v>
      </c>
      <c r="F20" s="20">
        <v>32</v>
      </c>
      <c r="I20" s="25" t="s">
        <v>9</v>
      </c>
      <c r="J20" s="21">
        <v>20581</v>
      </c>
      <c r="K20" s="20">
        <v>218</v>
      </c>
    </row>
    <row r="21" spans="1:17" x14ac:dyDescent="0.25">
      <c r="A21" s="25" t="s">
        <v>1054</v>
      </c>
      <c r="B21" s="20">
        <v>12</v>
      </c>
      <c r="C21" s="20">
        <v>12</v>
      </c>
      <c r="E21" s="25" t="s">
        <v>1081</v>
      </c>
      <c r="F21" s="20">
        <v>38</v>
      </c>
      <c r="I21" s="25" t="s">
        <v>6</v>
      </c>
      <c r="J21" s="21">
        <v>20872</v>
      </c>
      <c r="K21" s="20">
        <v>207</v>
      </c>
      <c r="O21" t="s">
        <v>1093</v>
      </c>
      <c r="P21" t="str">
        <f>L45</f>
        <v>R05</v>
      </c>
    </row>
    <row r="22" spans="1:17" x14ac:dyDescent="0.25">
      <c r="A22" s="25" t="s">
        <v>1055</v>
      </c>
      <c r="B22" s="20">
        <v>12</v>
      </c>
      <c r="C22" s="20">
        <v>12</v>
      </c>
      <c r="E22" s="25" t="s">
        <v>1074</v>
      </c>
      <c r="F22" s="20">
        <v>27</v>
      </c>
      <c r="I22" s="25" t="s">
        <v>13</v>
      </c>
      <c r="J22" s="21">
        <v>16651</v>
      </c>
      <c r="K22" s="20">
        <v>186</v>
      </c>
    </row>
    <row r="23" spans="1:17" x14ac:dyDescent="0.25">
      <c r="A23" s="25" t="s">
        <v>1056</v>
      </c>
      <c r="B23" s="20">
        <v>7</v>
      </c>
      <c r="C23" s="20">
        <v>7</v>
      </c>
      <c r="E23" s="25" t="s">
        <v>1048</v>
      </c>
      <c r="F23" s="20">
        <v>200</v>
      </c>
      <c r="I23" s="25" t="s">
        <v>10</v>
      </c>
      <c r="J23" s="21">
        <v>20104</v>
      </c>
      <c r="K23" s="20">
        <v>200</v>
      </c>
      <c r="M23" t="s">
        <v>1088</v>
      </c>
      <c r="N23" t="s">
        <v>1089</v>
      </c>
      <c r="O23" t="s">
        <v>1090</v>
      </c>
      <c r="P23" t="s">
        <v>1091</v>
      </c>
      <c r="Q23" t="s">
        <v>1092</v>
      </c>
    </row>
    <row r="24" spans="1:17" x14ac:dyDescent="0.25">
      <c r="A24" s="25" t="s">
        <v>1057</v>
      </c>
      <c r="B24" s="20">
        <v>20</v>
      </c>
      <c r="C24" s="20">
        <v>20</v>
      </c>
      <c r="I24" s="25" t="s">
        <v>1048</v>
      </c>
      <c r="J24" s="21">
        <v>96623</v>
      </c>
      <c r="K24" s="20">
        <v>1000</v>
      </c>
      <c r="M24" t="str" cm="1">
        <f t="array" ref="M24:O28">I19:K23</f>
        <v>R01</v>
      </c>
      <c r="N24" s="27">
        <v>18415</v>
      </c>
      <c r="O24">
        <v>189</v>
      </c>
      <c r="P24" t="e">
        <f>IF(M24=$P$21,O24,NA())</f>
        <v>#N/A</v>
      </c>
      <c r="Q24" t="e">
        <f>IF(M24=$P$21,N24,NA())</f>
        <v>#N/A</v>
      </c>
    </row>
    <row r="25" spans="1:17" x14ac:dyDescent="0.25">
      <c r="A25" s="25" t="s">
        <v>1058</v>
      </c>
      <c r="B25" s="20">
        <v>24</v>
      </c>
      <c r="C25" s="20">
        <v>24</v>
      </c>
      <c r="M25" t="str">
        <v>R02</v>
      </c>
      <c r="N25" s="27">
        <v>20581</v>
      </c>
      <c r="O25">
        <v>218</v>
      </c>
      <c r="P25" t="e">
        <f t="shared" ref="P25:P28" si="0">IF(M25=$P$21,O25,NA())</f>
        <v>#N/A</v>
      </c>
      <c r="Q25" t="e">
        <f t="shared" ref="Q25:Q28" si="1">IF(M25=$P$21,N25,NA())</f>
        <v>#N/A</v>
      </c>
    </row>
    <row r="26" spans="1:17" x14ac:dyDescent="0.25">
      <c r="A26" s="25" t="s">
        <v>1059</v>
      </c>
      <c r="B26" s="20">
        <v>12</v>
      </c>
      <c r="C26" s="20">
        <v>12</v>
      </c>
      <c r="M26" t="str">
        <v>R03</v>
      </c>
      <c r="N26" s="27">
        <v>20872</v>
      </c>
      <c r="O26">
        <v>207</v>
      </c>
      <c r="P26" t="e">
        <f t="shared" si="0"/>
        <v>#N/A</v>
      </c>
      <c r="Q26" t="e">
        <f t="shared" si="1"/>
        <v>#N/A</v>
      </c>
    </row>
    <row r="27" spans="1:17" x14ac:dyDescent="0.25">
      <c r="A27" s="25" t="s">
        <v>1060</v>
      </c>
      <c r="B27" s="20">
        <v>15</v>
      </c>
      <c r="C27" s="20">
        <v>15</v>
      </c>
      <c r="M27" t="str">
        <v>R04</v>
      </c>
      <c r="N27" s="27">
        <v>16651</v>
      </c>
      <c r="O27">
        <v>186</v>
      </c>
      <c r="P27" t="e">
        <f t="shared" si="0"/>
        <v>#N/A</v>
      </c>
      <c r="Q27" t="e">
        <f t="shared" si="1"/>
        <v>#N/A</v>
      </c>
    </row>
    <row r="28" spans="1:17" x14ac:dyDescent="0.25">
      <c r="A28" s="25" t="s">
        <v>1048</v>
      </c>
      <c r="B28" s="20">
        <v>200</v>
      </c>
      <c r="C28" s="20">
        <v>200</v>
      </c>
      <c r="M28" t="str">
        <v>R05</v>
      </c>
      <c r="N28" s="27">
        <v>20104</v>
      </c>
      <c r="O28">
        <v>200</v>
      </c>
      <c r="P28">
        <f t="shared" si="0"/>
        <v>200</v>
      </c>
      <c r="Q28">
        <f t="shared" si="1"/>
        <v>20104</v>
      </c>
    </row>
    <row r="29" spans="1:17" x14ac:dyDescent="0.25">
      <c r="J29" s="21">
        <v>18415</v>
      </c>
      <c r="K29" s="20">
        <v>189</v>
      </c>
    </row>
    <row r="30" spans="1:17" x14ac:dyDescent="0.25">
      <c r="I30" s="25" t="s">
        <v>9</v>
      </c>
      <c r="J30" s="21">
        <v>20581</v>
      </c>
      <c r="K30" s="20">
        <v>218</v>
      </c>
    </row>
    <row r="31" spans="1:17" x14ac:dyDescent="0.25">
      <c r="I31" s="25" t="s">
        <v>6</v>
      </c>
      <c r="J31" s="21">
        <v>20872</v>
      </c>
      <c r="K31" s="20">
        <v>207</v>
      </c>
      <c r="L31" s="25"/>
    </row>
    <row r="32" spans="1:17" x14ac:dyDescent="0.25">
      <c r="I32" s="25" t="s">
        <v>13</v>
      </c>
      <c r="J32" s="21">
        <v>16651</v>
      </c>
      <c r="K32" s="20">
        <v>186</v>
      </c>
    </row>
    <row r="33" spans="5:20" x14ac:dyDescent="0.25">
      <c r="I33" s="25" t="s">
        <v>10</v>
      </c>
      <c r="J33" s="21">
        <v>20104</v>
      </c>
      <c r="K33" s="20">
        <v>200</v>
      </c>
    </row>
    <row r="34" spans="5:20" x14ac:dyDescent="0.25">
      <c r="E34" s="24" t="s">
        <v>1042</v>
      </c>
      <c r="F34" s="24" t="s">
        <v>1094</v>
      </c>
    </row>
    <row r="35" spans="5:20" x14ac:dyDescent="0.25">
      <c r="E35" s="24" t="s">
        <v>1047</v>
      </c>
      <c r="F35" t="s">
        <v>999</v>
      </c>
      <c r="G35" t="s">
        <v>998</v>
      </c>
      <c r="H35" t="s">
        <v>1048</v>
      </c>
    </row>
    <row r="36" spans="5:20" x14ac:dyDescent="0.25">
      <c r="E36" s="25" t="s">
        <v>1002</v>
      </c>
      <c r="F36" s="20">
        <v>144</v>
      </c>
      <c r="G36" s="20">
        <v>132</v>
      </c>
      <c r="H36" s="20">
        <v>276</v>
      </c>
    </row>
    <row r="37" spans="5:20" x14ac:dyDescent="0.25">
      <c r="E37" s="25" t="s">
        <v>1001</v>
      </c>
      <c r="F37" s="20">
        <v>326</v>
      </c>
      <c r="G37" s="20">
        <v>63</v>
      </c>
      <c r="H37" s="20">
        <v>389</v>
      </c>
    </row>
    <row r="38" spans="5:20" x14ac:dyDescent="0.25">
      <c r="E38" s="25" t="s">
        <v>1000</v>
      </c>
      <c r="F38" s="20">
        <v>129</v>
      </c>
      <c r="G38" s="20">
        <v>206</v>
      </c>
      <c r="H38" s="20">
        <v>335</v>
      </c>
    </row>
    <row r="39" spans="5:20" x14ac:dyDescent="0.25">
      <c r="E39" s="25" t="s">
        <v>1048</v>
      </c>
      <c r="F39" s="20">
        <v>599</v>
      </c>
      <c r="G39" s="20">
        <v>401</v>
      </c>
      <c r="H39" s="20">
        <v>1000</v>
      </c>
    </row>
    <row r="41" spans="5:20" x14ac:dyDescent="0.25">
      <c r="N41" s="24" t="s">
        <v>1043</v>
      </c>
      <c r="O41" s="24" t="s">
        <v>1094</v>
      </c>
    </row>
    <row r="42" spans="5:20" x14ac:dyDescent="0.25">
      <c r="N42" s="24" t="s">
        <v>1047</v>
      </c>
      <c r="O42" t="s">
        <v>11</v>
      </c>
      <c r="P42" t="s">
        <v>9</v>
      </c>
      <c r="Q42" t="s">
        <v>6</v>
      </c>
      <c r="R42" t="s">
        <v>13</v>
      </c>
      <c r="S42" t="s">
        <v>10</v>
      </c>
      <c r="T42" t="s">
        <v>1048</v>
      </c>
    </row>
    <row r="43" spans="5:20" x14ac:dyDescent="0.25">
      <c r="E43" s="24" t="s">
        <v>1047</v>
      </c>
      <c r="F43" t="s">
        <v>1042</v>
      </c>
      <c r="N43" s="25" t="s">
        <v>1002</v>
      </c>
      <c r="O43" s="29"/>
      <c r="P43" s="29"/>
      <c r="Q43" s="29"/>
      <c r="R43" s="29"/>
      <c r="S43" s="29"/>
      <c r="T43" s="29"/>
    </row>
    <row r="44" spans="5:20" x14ac:dyDescent="0.25">
      <c r="E44" s="25">
        <v>2</v>
      </c>
      <c r="F44" s="20">
        <v>10</v>
      </c>
      <c r="L44" s="24" t="s">
        <v>1047</v>
      </c>
      <c r="N44" s="30" t="s">
        <v>20</v>
      </c>
      <c r="O44" s="21">
        <v>891</v>
      </c>
      <c r="P44" s="21">
        <v>1332</v>
      </c>
      <c r="Q44" s="21">
        <v>1282</v>
      </c>
      <c r="R44" s="21">
        <v>739</v>
      </c>
      <c r="S44" s="21">
        <v>560</v>
      </c>
      <c r="T44" s="21">
        <v>4804</v>
      </c>
    </row>
    <row r="45" spans="5:20" x14ac:dyDescent="0.25">
      <c r="E45" s="25">
        <v>3</v>
      </c>
      <c r="F45" s="20">
        <v>44</v>
      </c>
      <c r="L45" s="28" t="s">
        <v>10</v>
      </c>
      <c r="N45" s="30" t="s">
        <v>12</v>
      </c>
      <c r="O45" s="21">
        <v>1991</v>
      </c>
      <c r="P45" s="21">
        <v>1886</v>
      </c>
      <c r="Q45" s="21">
        <v>1206</v>
      </c>
      <c r="R45" s="21">
        <v>884</v>
      </c>
      <c r="S45" s="21">
        <v>1722</v>
      </c>
      <c r="T45" s="21">
        <v>7689</v>
      </c>
    </row>
    <row r="46" spans="5:20" x14ac:dyDescent="0.25">
      <c r="E46" s="25">
        <v>4</v>
      </c>
      <c r="F46" s="20">
        <v>95</v>
      </c>
      <c r="N46" s="30" t="s">
        <v>8</v>
      </c>
      <c r="O46" s="21">
        <v>1163</v>
      </c>
      <c r="P46" s="21">
        <v>1180</v>
      </c>
      <c r="Q46" s="21">
        <v>1616</v>
      </c>
      <c r="R46" s="21">
        <v>1043</v>
      </c>
      <c r="S46" s="21">
        <v>1747</v>
      </c>
      <c r="T46" s="21">
        <v>6749</v>
      </c>
    </row>
    <row r="47" spans="5:20" x14ac:dyDescent="0.25">
      <c r="E47" s="25">
        <v>5</v>
      </c>
      <c r="F47" s="20">
        <v>51</v>
      </c>
      <c r="N47" s="30" t="s">
        <v>16</v>
      </c>
      <c r="O47" s="21">
        <v>1438</v>
      </c>
      <c r="P47" s="21">
        <v>1616</v>
      </c>
      <c r="Q47" s="21">
        <v>866</v>
      </c>
      <c r="R47" s="21">
        <v>829</v>
      </c>
      <c r="S47" s="21">
        <v>2070</v>
      </c>
      <c r="T47" s="21">
        <v>6819</v>
      </c>
    </row>
    <row r="48" spans="5:20" x14ac:dyDescent="0.25">
      <c r="E48" s="25" t="s">
        <v>1048</v>
      </c>
      <c r="F48" s="20">
        <v>200</v>
      </c>
      <c r="N48" s="25" t="s">
        <v>1001</v>
      </c>
      <c r="O48" s="29"/>
      <c r="P48" s="29"/>
      <c r="Q48" s="29"/>
      <c r="R48" s="29"/>
      <c r="S48" s="29"/>
      <c r="T48" s="29"/>
    </row>
    <row r="49" spans="2:20" x14ac:dyDescent="0.25">
      <c r="N49" s="30" t="s">
        <v>24</v>
      </c>
      <c r="O49" s="21">
        <v>1233</v>
      </c>
      <c r="P49" s="21">
        <v>223</v>
      </c>
      <c r="Q49" s="21">
        <v>1680</v>
      </c>
      <c r="R49" s="21">
        <v>990</v>
      </c>
      <c r="S49" s="21">
        <v>1508</v>
      </c>
      <c r="T49" s="21">
        <v>5634</v>
      </c>
    </row>
    <row r="50" spans="2:20" x14ac:dyDescent="0.25">
      <c r="N50" s="30" t="s">
        <v>15</v>
      </c>
      <c r="O50" s="21">
        <v>1598</v>
      </c>
      <c r="P50" s="21">
        <v>1907</v>
      </c>
      <c r="Q50" s="21">
        <v>869</v>
      </c>
      <c r="R50" s="21">
        <v>1426</v>
      </c>
      <c r="S50" s="21">
        <v>1416</v>
      </c>
      <c r="T50" s="21">
        <v>7216</v>
      </c>
    </row>
    <row r="51" spans="2:20" x14ac:dyDescent="0.25">
      <c r="N51" s="30" t="s">
        <v>5</v>
      </c>
      <c r="O51" s="21">
        <v>900</v>
      </c>
      <c r="P51" s="21">
        <v>1016</v>
      </c>
      <c r="Q51" s="21">
        <v>960</v>
      </c>
      <c r="R51" s="21">
        <v>940</v>
      </c>
      <c r="S51" s="21">
        <v>1193</v>
      </c>
      <c r="T51" s="21">
        <v>5009</v>
      </c>
    </row>
    <row r="52" spans="2:20" x14ac:dyDescent="0.25">
      <c r="B52" t="s">
        <v>1096</v>
      </c>
      <c r="N52" s="30" t="s">
        <v>18</v>
      </c>
      <c r="O52" s="21">
        <v>900</v>
      </c>
      <c r="P52" s="21">
        <v>1470</v>
      </c>
      <c r="Q52" s="21">
        <v>1617</v>
      </c>
      <c r="R52" s="21">
        <v>1314</v>
      </c>
      <c r="S52" s="21">
        <v>941</v>
      </c>
      <c r="T52" s="21">
        <v>6242</v>
      </c>
    </row>
    <row r="53" spans="2:20" x14ac:dyDescent="0.25">
      <c r="B53" t="s">
        <v>1099</v>
      </c>
      <c r="C53">
        <f>_xlfn.XLOOKUP(L45,M24:M28,O24:O28)</f>
        <v>200</v>
      </c>
      <c r="N53" s="30" t="s">
        <v>14</v>
      </c>
      <c r="O53" s="21">
        <v>1255</v>
      </c>
      <c r="P53" s="21">
        <v>516</v>
      </c>
      <c r="Q53" s="21">
        <v>1874</v>
      </c>
      <c r="R53" s="21">
        <v>1863</v>
      </c>
      <c r="S53" s="21">
        <v>1722</v>
      </c>
      <c r="T53" s="21">
        <v>7230</v>
      </c>
    </row>
    <row r="54" spans="2:20" x14ac:dyDescent="0.25">
      <c r="B54" t="s">
        <v>1089</v>
      </c>
      <c r="C54">
        <f>_xlfn.XLOOKUP(L45,M24:M28,N24:N28)</f>
        <v>20104</v>
      </c>
      <c r="N54" s="30" t="s">
        <v>19</v>
      </c>
      <c r="O54" s="21">
        <v>1138</v>
      </c>
      <c r="P54" s="21">
        <v>1898</v>
      </c>
      <c r="Q54" s="21">
        <v>1482</v>
      </c>
      <c r="R54" s="21">
        <v>846</v>
      </c>
      <c r="S54" s="21">
        <v>1154</v>
      </c>
      <c r="T54" s="21">
        <v>6518</v>
      </c>
    </row>
    <row r="55" spans="2:20" x14ac:dyDescent="0.25">
      <c r="N55" s="25" t="s">
        <v>1000</v>
      </c>
      <c r="O55" s="29"/>
      <c r="P55" s="29"/>
      <c r="Q55" s="29"/>
      <c r="R55" s="29"/>
      <c r="S55" s="29"/>
      <c r="T55" s="29"/>
    </row>
    <row r="56" spans="2:20" x14ac:dyDescent="0.25">
      <c r="B56" t="s">
        <v>1097</v>
      </c>
      <c r="C56" s="46">
        <f>A11/A4</f>
        <v>0.2</v>
      </c>
      <c r="N56" s="30" t="s">
        <v>17</v>
      </c>
      <c r="O56" s="21">
        <v>1655</v>
      </c>
      <c r="P56" s="21">
        <v>805</v>
      </c>
      <c r="Q56" s="21">
        <v>2263</v>
      </c>
      <c r="R56" s="21">
        <v>987</v>
      </c>
      <c r="S56" s="21">
        <v>1075</v>
      </c>
      <c r="T56" s="21">
        <v>6785</v>
      </c>
    </row>
    <row r="57" spans="2:20" x14ac:dyDescent="0.25">
      <c r="B57" t="s">
        <v>1098</v>
      </c>
      <c r="C57">
        <f>_xlfn.RANK.AVG(C53,O24:O28)</f>
        <v>3</v>
      </c>
      <c r="N57" s="30" t="s">
        <v>23</v>
      </c>
      <c r="O57" s="21">
        <v>1104</v>
      </c>
      <c r="P57" s="21">
        <v>2280</v>
      </c>
      <c r="Q57" s="21">
        <v>1445</v>
      </c>
      <c r="R57" s="21">
        <v>1722</v>
      </c>
      <c r="S57" s="21">
        <v>1196</v>
      </c>
      <c r="T57" s="21">
        <v>7747</v>
      </c>
    </row>
    <row r="58" spans="2:20" x14ac:dyDescent="0.25">
      <c r="B58" t="s">
        <v>1100</v>
      </c>
      <c r="C58">
        <f>_xlfn.RANK.AVG(C54,N24:N28)</f>
        <v>3</v>
      </c>
      <c r="N58" s="30" t="s">
        <v>7</v>
      </c>
      <c r="O58" s="21">
        <v>372</v>
      </c>
      <c r="P58" s="21">
        <v>1818</v>
      </c>
      <c r="Q58" s="21">
        <v>1346</v>
      </c>
      <c r="R58" s="21">
        <v>1156</v>
      </c>
      <c r="S58" s="21">
        <v>1484</v>
      </c>
      <c r="T58" s="21">
        <v>6176</v>
      </c>
    </row>
    <row r="59" spans="2:20" x14ac:dyDescent="0.25">
      <c r="N59" s="30" t="s">
        <v>22</v>
      </c>
      <c r="O59" s="21">
        <v>1415</v>
      </c>
      <c r="P59" s="21">
        <v>1271</v>
      </c>
      <c r="Q59" s="21">
        <v>1214</v>
      </c>
      <c r="R59" s="21">
        <v>1135</v>
      </c>
      <c r="S59" s="21">
        <v>1566</v>
      </c>
      <c r="T59" s="21">
        <v>6601</v>
      </c>
    </row>
    <row r="60" spans="2:20" x14ac:dyDescent="0.25">
      <c r="N60" s="30" t="s">
        <v>21</v>
      </c>
      <c r="O60" s="21">
        <v>1362</v>
      </c>
      <c r="P60" s="21">
        <v>1363</v>
      </c>
      <c r="Q60" s="21">
        <v>1152</v>
      </c>
      <c r="R60" s="21">
        <v>777</v>
      </c>
      <c r="S60" s="21">
        <v>750</v>
      </c>
      <c r="T60" s="21">
        <v>5404</v>
      </c>
    </row>
    <row r="61" spans="2:20" x14ac:dyDescent="0.25">
      <c r="B61" t="s">
        <v>1101</v>
      </c>
    </row>
    <row r="62" spans="2:20" x14ac:dyDescent="0.25">
      <c r="C62" t="str">
        <f>"% of Calls:"&amp;TEXT(C56,"0%")</f>
        <v>% of Calls:20%</v>
      </c>
    </row>
    <row r="63" spans="2:20" x14ac:dyDescent="0.25">
      <c r="C63" t="str">
        <f>IF(COUNTA(L45:L49)&gt;1,"","Call Rank:"&amp;C57)</f>
        <v>Call Rank:3</v>
      </c>
    </row>
    <row r="64" spans="2:20" x14ac:dyDescent="0.25">
      <c r="C64" t="str">
        <f>IF(COUNTA(L45:L49)&gt;1,"","Amount Rank:"&amp;C58)</f>
        <v>Amount Rank:3</v>
      </c>
    </row>
    <row r="66" spans="2:3" x14ac:dyDescent="0.25">
      <c r="B66" t="s">
        <v>1102</v>
      </c>
      <c r="C66" t="e" vm="1">
        <f>IF(COUNTA(L45:L49)&gt;1,"",_xlfn.XLOOKUP(L45,Assets!E3:E7,Assets!F3:F7))</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B4" sqref="B4:L1003"/>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I4" sqref="I4"/>
    </sheetView>
  </sheetViews>
  <sheetFormatPr defaultRowHeight="15" x14ac:dyDescent="0.25"/>
  <cols>
    <col min="5" max="5" width="10.875" customWidth="1"/>
    <col min="6" max="6" width="9.875" customWidth="1"/>
  </cols>
  <sheetData>
    <row r="2" spans="5:6" x14ac:dyDescent="0.25">
      <c r="E2" t="s">
        <v>1040</v>
      </c>
      <c r="F2" t="s">
        <v>1041</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46A1-AB76-4A85-8070-BC1935304D74}">
  <sheetPr>
    <pageSetUpPr fitToPage="1"/>
  </sheetPr>
  <dimension ref="K1:X36"/>
  <sheetViews>
    <sheetView showGridLines="0" tabSelected="1" zoomScale="50" zoomScaleNormal="50" workbookViewId="0">
      <selection activeCell="AC27" sqref="AC27"/>
    </sheetView>
  </sheetViews>
  <sheetFormatPr defaultRowHeight="15" x14ac:dyDescent="0.25"/>
  <cols>
    <col min="13" max="13" width="15.25" customWidth="1"/>
    <col min="17" max="17" width="10.875" customWidth="1"/>
  </cols>
  <sheetData>
    <row r="1" spans="11:19" ht="39.75" customHeight="1" x14ac:dyDescent="0.55000000000000004">
      <c r="K1" s="51" t="s">
        <v>1103</v>
      </c>
      <c r="L1" s="52"/>
      <c r="M1" s="52"/>
      <c r="N1" s="52"/>
      <c r="O1" s="52"/>
      <c r="P1" s="52"/>
      <c r="Q1" s="52"/>
      <c r="R1" s="52"/>
      <c r="S1" s="50"/>
    </row>
    <row r="18" spans="13:24" ht="15.75" x14ac:dyDescent="0.25">
      <c r="Q18" s="31"/>
      <c r="R18" s="32" t="s">
        <v>11</v>
      </c>
      <c r="S18" s="32" t="s">
        <v>9</v>
      </c>
      <c r="T18" s="32" t="s">
        <v>6</v>
      </c>
      <c r="U18" s="32" t="s">
        <v>13</v>
      </c>
      <c r="V18" s="32" t="s">
        <v>10</v>
      </c>
      <c r="W18" s="33" t="s">
        <v>1095</v>
      </c>
    </row>
    <row r="19" spans="13:24" ht="15.75" x14ac:dyDescent="0.25">
      <c r="Q19" s="34" t="str" cm="1">
        <f t="array" ref="Q19:W36">IF(Project_excel!N43:T60="","",Project_excel!N43:T60)</f>
        <v>Cincinnati</v>
      </c>
      <c r="R19" s="35" t="str">
        <v/>
      </c>
      <c r="S19" s="35" t="str">
        <v/>
      </c>
      <c r="T19" s="35" t="str">
        <v/>
      </c>
      <c r="U19" s="35" t="str">
        <v/>
      </c>
      <c r="V19" s="35" t="str">
        <v/>
      </c>
      <c r="W19" s="36" t="str">
        <v/>
      </c>
    </row>
    <row r="20" spans="13:24" ht="15.75" x14ac:dyDescent="0.25">
      <c r="Q20" s="34" t="str">
        <v>C0003</v>
      </c>
      <c r="R20" s="37">
        <v>891</v>
      </c>
      <c r="S20" s="37">
        <v>1332</v>
      </c>
      <c r="T20" s="37">
        <v>1282</v>
      </c>
      <c r="U20" s="37">
        <v>739</v>
      </c>
      <c r="V20" s="37">
        <v>560</v>
      </c>
      <c r="W20" s="38">
        <v>4804</v>
      </c>
      <c r="X20" s="30"/>
    </row>
    <row r="21" spans="13:24" ht="15.75" x14ac:dyDescent="0.25">
      <c r="Q21" s="34" t="str">
        <v>C0004</v>
      </c>
      <c r="R21" s="37">
        <v>1991</v>
      </c>
      <c r="S21" s="37">
        <v>1886</v>
      </c>
      <c r="T21" s="37">
        <v>1206</v>
      </c>
      <c r="U21" s="37">
        <v>884</v>
      </c>
      <c r="V21" s="37">
        <v>1722</v>
      </c>
      <c r="W21" s="38">
        <v>7689</v>
      </c>
    </row>
    <row r="22" spans="13:24" ht="15.75" x14ac:dyDescent="0.25">
      <c r="Q22" s="34" t="str">
        <v>C0011</v>
      </c>
      <c r="R22" s="37">
        <v>1163</v>
      </c>
      <c r="S22" s="37">
        <v>1180</v>
      </c>
      <c r="T22" s="37">
        <v>1616</v>
      </c>
      <c r="U22" s="37">
        <v>1043</v>
      </c>
      <c r="V22" s="37">
        <v>1747</v>
      </c>
      <c r="W22" s="38">
        <v>6749</v>
      </c>
    </row>
    <row r="23" spans="13:24" ht="15.75" x14ac:dyDescent="0.25">
      <c r="Q23" s="34" t="str">
        <v>C0012</v>
      </c>
      <c r="R23" s="37">
        <v>1438</v>
      </c>
      <c r="S23" s="37">
        <v>1616</v>
      </c>
      <c r="T23" s="37">
        <v>866</v>
      </c>
      <c r="U23" s="37">
        <v>829</v>
      </c>
      <c r="V23" s="37">
        <v>2070</v>
      </c>
      <c r="W23" s="38">
        <v>6819</v>
      </c>
    </row>
    <row r="24" spans="13:24" ht="15.75" x14ac:dyDescent="0.25">
      <c r="Q24" s="34" t="str">
        <v>Cleveland</v>
      </c>
      <c r="R24" s="37" t="str">
        <v/>
      </c>
      <c r="S24" s="37" t="str">
        <v/>
      </c>
      <c r="T24" s="37" t="str">
        <v/>
      </c>
      <c r="U24" s="37" t="str">
        <v/>
      </c>
      <c r="V24" s="37" t="str">
        <v/>
      </c>
      <c r="W24" s="38" t="str">
        <v/>
      </c>
    </row>
    <row r="25" spans="13:24" ht="15.75" x14ac:dyDescent="0.25">
      <c r="Q25" s="34" t="str">
        <v>C0002</v>
      </c>
      <c r="R25" s="37">
        <v>1233</v>
      </c>
      <c r="S25" s="37">
        <v>223</v>
      </c>
      <c r="T25" s="37">
        <v>1680</v>
      </c>
      <c r="U25" s="37">
        <v>990</v>
      </c>
      <c r="V25" s="37">
        <v>1508</v>
      </c>
      <c r="W25" s="38">
        <v>5634</v>
      </c>
    </row>
    <row r="26" spans="13:24" ht="15.75" x14ac:dyDescent="0.25">
      <c r="Q26" s="34" t="str">
        <v>C0007</v>
      </c>
      <c r="R26" s="37">
        <v>1598</v>
      </c>
      <c r="S26" s="37">
        <v>1907</v>
      </c>
      <c r="T26" s="37">
        <v>869</v>
      </c>
      <c r="U26" s="37">
        <v>1426</v>
      </c>
      <c r="V26" s="37">
        <v>1416</v>
      </c>
      <c r="W26" s="38">
        <v>7216</v>
      </c>
    </row>
    <row r="27" spans="13:24" ht="15.75" x14ac:dyDescent="0.25">
      <c r="M27" s="47" t="e" vm="1">
        <f>Project_excel!C66</f>
        <v>#VALUE!</v>
      </c>
      <c r="N27" s="47"/>
      <c r="O27" s="48"/>
      <c r="Q27" s="34" t="str">
        <v>C0008</v>
      </c>
      <c r="R27" s="37">
        <v>900</v>
      </c>
      <c r="S27" s="37">
        <v>1016</v>
      </c>
      <c r="T27" s="37">
        <v>960</v>
      </c>
      <c r="U27" s="37">
        <v>940</v>
      </c>
      <c r="V27" s="37">
        <v>1193</v>
      </c>
      <c r="W27" s="38">
        <v>5009</v>
      </c>
    </row>
    <row r="28" spans="13:24" ht="15.75" x14ac:dyDescent="0.25">
      <c r="M28" s="47"/>
      <c r="N28" s="47"/>
      <c r="O28" s="48"/>
      <c r="Q28" s="34" t="str">
        <v>C0010</v>
      </c>
      <c r="R28" s="37">
        <v>900</v>
      </c>
      <c r="S28" s="37">
        <v>1470</v>
      </c>
      <c r="T28" s="37">
        <v>1617</v>
      </c>
      <c r="U28" s="37">
        <v>1314</v>
      </c>
      <c r="V28" s="37">
        <v>941</v>
      </c>
      <c r="W28" s="38">
        <v>6242</v>
      </c>
    </row>
    <row r="29" spans="13:24" ht="15.75" x14ac:dyDescent="0.25">
      <c r="M29" s="47"/>
      <c r="N29" s="47"/>
      <c r="O29" s="48"/>
      <c r="Q29" s="34" t="str">
        <v>C0013</v>
      </c>
      <c r="R29" s="37">
        <v>1255</v>
      </c>
      <c r="S29" s="37">
        <v>516</v>
      </c>
      <c r="T29" s="37">
        <v>1874</v>
      </c>
      <c r="U29" s="37">
        <v>1863</v>
      </c>
      <c r="V29" s="37">
        <v>1722</v>
      </c>
      <c r="W29" s="38">
        <v>7230</v>
      </c>
    </row>
    <row r="30" spans="13:24" ht="15.75" x14ac:dyDescent="0.25">
      <c r="M30" s="47"/>
      <c r="N30" s="47"/>
      <c r="O30" s="48"/>
      <c r="Q30" s="34" t="str">
        <v>C0015</v>
      </c>
      <c r="R30" s="37">
        <v>1138</v>
      </c>
      <c r="S30" s="37">
        <v>1898</v>
      </c>
      <c r="T30" s="37">
        <v>1482</v>
      </c>
      <c r="U30" s="37">
        <v>846</v>
      </c>
      <c r="V30" s="37">
        <v>1154</v>
      </c>
      <c r="W30" s="38">
        <v>6518</v>
      </c>
    </row>
    <row r="31" spans="13:24" ht="15.75" x14ac:dyDescent="0.25">
      <c r="M31" s="47"/>
      <c r="N31" s="47"/>
      <c r="O31" s="48"/>
      <c r="Q31" s="34" t="str">
        <v>Columbus</v>
      </c>
      <c r="R31" s="37" t="str">
        <v/>
      </c>
      <c r="S31" s="37" t="str">
        <v/>
      </c>
      <c r="T31" s="37" t="str">
        <v/>
      </c>
      <c r="U31" s="37" t="str">
        <v/>
      </c>
      <c r="V31" s="37" t="str">
        <v/>
      </c>
      <c r="W31" s="38" t="str">
        <v/>
      </c>
    </row>
    <row r="32" spans="13:24" ht="26.25" x14ac:dyDescent="0.25">
      <c r="M32" s="49" t="str">
        <f>Project_excel!C62</f>
        <v>% of Calls:20%</v>
      </c>
      <c r="Q32" s="34" t="str">
        <v>C0001</v>
      </c>
      <c r="R32" s="37">
        <v>1655</v>
      </c>
      <c r="S32" s="37">
        <v>805</v>
      </c>
      <c r="T32" s="37">
        <v>2263</v>
      </c>
      <c r="U32" s="37">
        <v>987</v>
      </c>
      <c r="V32" s="37">
        <v>1075</v>
      </c>
      <c r="W32" s="38">
        <v>6785</v>
      </c>
    </row>
    <row r="33" spans="13:23" ht="26.25" x14ac:dyDescent="0.25">
      <c r="M33" s="49" t="str">
        <f>Project_excel!C63</f>
        <v>Call Rank:3</v>
      </c>
      <c r="Q33" s="34" t="str">
        <v>C0005</v>
      </c>
      <c r="R33" s="37">
        <v>1104</v>
      </c>
      <c r="S33" s="37">
        <v>2280</v>
      </c>
      <c r="T33" s="37">
        <v>1445</v>
      </c>
      <c r="U33" s="37">
        <v>1722</v>
      </c>
      <c r="V33" s="37">
        <v>1196</v>
      </c>
      <c r="W33" s="38">
        <v>7747</v>
      </c>
    </row>
    <row r="34" spans="13:23" ht="26.25" x14ac:dyDescent="0.25">
      <c r="M34" s="49" t="str">
        <f>Project_excel!C64</f>
        <v>Amount Rank:3</v>
      </c>
      <c r="Q34" s="39" t="str">
        <v>C0006</v>
      </c>
      <c r="R34" s="37">
        <v>372</v>
      </c>
      <c r="S34" s="37">
        <v>1818</v>
      </c>
      <c r="T34" s="37">
        <v>1346</v>
      </c>
      <c r="U34" s="37">
        <v>1156</v>
      </c>
      <c r="V34" s="37">
        <v>1484</v>
      </c>
      <c r="W34" s="38">
        <v>6176</v>
      </c>
    </row>
    <row r="35" spans="13:23" x14ac:dyDescent="0.25">
      <c r="Q35" s="40" t="str">
        <v>C0009</v>
      </c>
      <c r="R35" s="41">
        <v>1415</v>
      </c>
      <c r="S35" s="41">
        <v>1271</v>
      </c>
      <c r="T35" s="41">
        <v>1214</v>
      </c>
      <c r="U35" s="41">
        <v>1135</v>
      </c>
      <c r="V35" s="41">
        <v>1566</v>
      </c>
      <c r="W35" s="42">
        <v>6601</v>
      </c>
    </row>
    <row r="36" spans="13:23" x14ac:dyDescent="0.25">
      <c r="Q36" s="43" t="str">
        <v>C0014</v>
      </c>
      <c r="R36" s="44">
        <v>1362</v>
      </c>
      <c r="S36" s="44">
        <v>1363</v>
      </c>
      <c r="T36" s="44">
        <v>1152</v>
      </c>
      <c r="U36" s="44">
        <v>777</v>
      </c>
      <c r="V36" s="44">
        <v>750</v>
      </c>
      <c r="W36" s="45">
        <v>5404</v>
      </c>
    </row>
  </sheetData>
  <mergeCells count="1">
    <mergeCell ref="M27:O31"/>
  </mergeCells>
  <conditionalFormatting sqref="R20:V36">
    <cfRule type="dataBar" priority="2">
      <dataBar>
        <cfvo type="num" val="0"/>
        <cfvo type="formula" val="MAX($R$20:$V$36)*2"/>
        <color theme="1" tint="0.14999847407452621"/>
      </dataBar>
      <extLst>
        <ext xmlns:x14="http://schemas.microsoft.com/office/spreadsheetml/2009/9/main" uri="{B025F937-C7B1-47D3-B67F-A62EFF666E3E}">
          <x14:id>{66B8E62A-DC9E-4FA9-9600-4C2120031657}</x14:id>
        </ext>
      </extLst>
    </cfRule>
  </conditionalFormatting>
  <pageMargins left="0.7" right="0.7" top="0.75" bottom="0.75" header="0.3" footer="0.3"/>
  <pageSetup paperSize="8" scale="56" orientation="portrait" r:id="rId1"/>
  <drawing r:id="rId2"/>
  <extLst>
    <ext xmlns:x14="http://schemas.microsoft.com/office/spreadsheetml/2009/9/main" uri="{78C0D931-6437-407d-A8EE-F0AAD7539E65}">
      <x14:conditionalFormattings>
        <x14:conditionalFormatting xmlns:xm="http://schemas.microsoft.com/office/excel/2006/main">
          <x14:cfRule type="dataBar" id="{66B8E62A-DC9E-4FA9-9600-4C2120031657}">
            <x14:dataBar minLength="0" maxLength="100" gradient="0">
              <x14:cfvo type="num">
                <xm:f>0</xm:f>
              </x14:cfvo>
              <x14:cfvo type="formula">
                <xm:f>MAX($R$20:$V$36)*2</xm:f>
              </x14:cfvo>
              <x14:negativeFillColor rgb="FFFF0000"/>
              <x14:axisColor rgb="FF000000"/>
            </x14:dataBar>
          </x14:cfRule>
          <xm:sqref>R20:V36</xm:sqref>
        </x14:conditionalFormatting>
        <x14:conditionalFormatting xmlns:xm="http://schemas.microsoft.com/office/excel/2006/main">
          <x14:cfRule type="expression" priority="3" id="{35D29606-84BD-4509-9147-2D2F78C84A7B}">
            <xm:f>R$18=Project_excel!$L$45</xm:f>
            <x14:dxf>
              <fill>
                <patternFill>
                  <bgColor theme="5" tint="0.39994506668294322"/>
                </patternFill>
              </fill>
              <border>
                <left style="thin">
                  <color theme="1" tint="0.24994659260841701"/>
                </left>
                <right style="thin">
                  <color theme="1" tint="0.24994659260841701"/>
                </right>
                <vertical/>
                <horizontal/>
              </border>
            </x14:dxf>
          </x14:cfRule>
          <xm:sqref>R18:V36</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Project_excel</vt:lpstr>
      <vt:lpstr>Data</vt:lpstr>
      <vt:lpstr>Assets</vt:lpstr>
      <vt:lpstr>Customer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14salmansmart@gmail.com</cp:lastModifiedBy>
  <dcterms:created xsi:type="dcterms:W3CDTF">2021-03-14T20:21:32Z</dcterms:created>
  <dcterms:modified xsi:type="dcterms:W3CDTF">2026-03-19T11:17:52Z</dcterms:modified>
</cp:coreProperties>
</file>